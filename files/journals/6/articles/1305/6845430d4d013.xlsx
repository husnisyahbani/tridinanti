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PG\Semester 2\"/>
    </mc:Choice>
  </mc:AlternateContent>
  <xr:revisionPtr revIDLastSave="0" documentId="13_ncr:1_{C4D1B808-14E7-4AA2-A62E-9C226622ADB9}" xr6:coauthVersionLast="47" xr6:coauthVersionMax="47" xr10:uidLastSave="{00000000-0000-0000-0000-000000000000}"/>
  <bookViews>
    <workbookView xWindow="-120" yWindow="-120" windowWidth="20730" windowHeight="11040" activeTab="2" xr2:uid="{43431CD1-1104-448D-99B3-8F5A3DA13DA0}"/>
  </bookViews>
  <sheets>
    <sheet name="Siklus 1" sheetId="1" r:id="rId1"/>
    <sheet name="Silkus 2" sheetId="2" r:id="rId2"/>
    <sheet name="Siklus 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3" i="3" l="1"/>
  <c r="F43" i="2"/>
  <c r="F43" i="1"/>
  <c r="E70" i="3"/>
  <c r="D70" i="3"/>
  <c r="C70" i="3"/>
  <c r="E69" i="3"/>
  <c r="D69" i="3"/>
  <c r="C69" i="3"/>
  <c r="E71" i="2"/>
  <c r="E70" i="2"/>
  <c r="D71" i="2"/>
  <c r="D70" i="2"/>
  <c r="C71" i="2"/>
  <c r="C70" i="2"/>
  <c r="E70" i="1"/>
  <c r="E69" i="1"/>
  <c r="D70" i="1"/>
  <c r="D69" i="1"/>
  <c r="C70" i="1"/>
  <c r="C69" i="1"/>
  <c r="F64" i="1"/>
  <c r="E64" i="1"/>
  <c r="F63" i="1"/>
  <c r="E63" i="1"/>
  <c r="F65" i="2"/>
  <c r="E65" i="2"/>
  <c r="F64" i="2"/>
  <c r="E64" i="2"/>
  <c r="F64" i="3"/>
  <c r="E64" i="3"/>
  <c r="F63" i="3"/>
  <c r="E63" i="3"/>
  <c r="D58" i="3"/>
  <c r="E57" i="3"/>
  <c r="E56" i="3"/>
  <c r="E55" i="3"/>
  <c r="E58" i="3" s="1"/>
  <c r="D51" i="3"/>
  <c r="E50" i="3"/>
  <c r="E49" i="3"/>
  <c r="E48" i="3"/>
  <c r="E47" i="3"/>
  <c r="E51" i="3" s="1"/>
  <c r="D40" i="3"/>
  <c r="C40" i="3"/>
  <c r="D39" i="3"/>
  <c r="C39" i="3"/>
  <c r="G38" i="3"/>
  <c r="F38" i="3"/>
  <c r="H38" i="3" s="1"/>
  <c r="I38" i="3" s="1"/>
  <c r="E38" i="3"/>
  <c r="G37" i="3"/>
  <c r="F37" i="3"/>
  <c r="H37" i="3" s="1"/>
  <c r="I37" i="3" s="1"/>
  <c r="E37" i="3"/>
  <c r="G36" i="3"/>
  <c r="F36" i="3"/>
  <c r="H36" i="3" s="1"/>
  <c r="I36" i="3" s="1"/>
  <c r="E36" i="3"/>
  <c r="G35" i="3"/>
  <c r="F35" i="3"/>
  <c r="H35" i="3" s="1"/>
  <c r="I35" i="3" s="1"/>
  <c r="E35" i="3"/>
  <c r="G34" i="3"/>
  <c r="F34" i="3"/>
  <c r="H34" i="3" s="1"/>
  <c r="I34" i="3" s="1"/>
  <c r="E34" i="3"/>
  <c r="G33" i="3"/>
  <c r="F33" i="3"/>
  <c r="H33" i="3" s="1"/>
  <c r="I33" i="3" s="1"/>
  <c r="E33" i="3"/>
  <c r="G32" i="3"/>
  <c r="F32" i="3"/>
  <c r="H32" i="3" s="1"/>
  <c r="I32" i="3" s="1"/>
  <c r="E32" i="3"/>
  <c r="G31" i="3"/>
  <c r="F31" i="3"/>
  <c r="H31" i="3" s="1"/>
  <c r="I31" i="3" s="1"/>
  <c r="E31" i="3"/>
  <c r="G30" i="3"/>
  <c r="F30" i="3"/>
  <c r="H30" i="3" s="1"/>
  <c r="I30" i="3" s="1"/>
  <c r="E30" i="3"/>
  <c r="G29" i="3"/>
  <c r="F29" i="3"/>
  <c r="H29" i="3" s="1"/>
  <c r="I29" i="3" s="1"/>
  <c r="E29" i="3"/>
  <c r="G28" i="3"/>
  <c r="F28" i="3"/>
  <c r="H28" i="3" s="1"/>
  <c r="I28" i="3" s="1"/>
  <c r="E28" i="3"/>
  <c r="G27" i="3"/>
  <c r="F27" i="3"/>
  <c r="H27" i="3" s="1"/>
  <c r="I27" i="3" s="1"/>
  <c r="E27" i="3"/>
  <c r="G26" i="3"/>
  <c r="F26" i="3"/>
  <c r="H26" i="3" s="1"/>
  <c r="I26" i="3" s="1"/>
  <c r="E26" i="3"/>
  <c r="G25" i="3"/>
  <c r="F25" i="3"/>
  <c r="H25" i="3" s="1"/>
  <c r="I25" i="3" s="1"/>
  <c r="E25" i="3"/>
  <c r="G24" i="3"/>
  <c r="F24" i="3"/>
  <c r="H24" i="3" s="1"/>
  <c r="I24" i="3" s="1"/>
  <c r="E24" i="3"/>
  <c r="G23" i="3"/>
  <c r="F23" i="3"/>
  <c r="H23" i="3" s="1"/>
  <c r="I23" i="3" s="1"/>
  <c r="E23" i="3"/>
  <c r="G22" i="3"/>
  <c r="F22" i="3"/>
  <c r="H22" i="3" s="1"/>
  <c r="I22" i="3" s="1"/>
  <c r="E22" i="3"/>
  <c r="G21" i="3"/>
  <c r="F21" i="3"/>
  <c r="H21" i="3" s="1"/>
  <c r="I21" i="3" s="1"/>
  <c r="E21" i="3"/>
  <c r="G20" i="3"/>
  <c r="F20" i="3"/>
  <c r="H20" i="3" s="1"/>
  <c r="I20" i="3" s="1"/>
  <c r="E20" i="3"/>
  <c r="G19" i="3"/>
  <c r="F19" i="3"/>
  <c r="H19" i="3" s="1"/>
  <c r="I19" i="3" s="1"/>
  <c r="E19" i="3"/>
  <c r="G18" i="3"/>
  <c r="F18" i="3"/>
  <c r="H18" i="3" s="1"/>
  <c r="I18" i="3" s="1"/>
  <c r="E18" i="3"/>
  <c r="G17" i="3"/>
  <c r="F17" i="3"/>
  <c r="H17" i="3" s="1"/>
  <c r="I17" i="3" s="1"/>
  <c r="E17" i="3"/>
  <c r="G16" i="3"/>
  <c r="F16" i="3"/>
  <c r="H16" i="3" s="1"/>
  <c r="I16" i="3" s="1"/>
  <c r="E16" i="3"/>
  <c r="G15" i="3"/>
  <c r="F15" i="3"/>
  <c r="H15" i="3" s="1"/>
  <c r="I15" i="3" s="1"/>
  <c r="E15" i="3"/>
  <c r="G14" i="3"/>
  <c r="F14" i="3"/>
  <c r="H14" i="3" s="1"/>
  <c r="I14" i="3" s="1"/>
  <c r="E14" i="3"/>
  <c r="G13" i="3"/>
  <c r="F13" i="3"/>
  <c r="H13" i="3" s="1"/>
  <c r="I13" i="3" s="1"/>
  <c r="E13" i="3"/>
  <c r="G12" i="3"/>
  <c r="F12" i="3"/>
  <c r="H12" i="3" s="1"/>
  <c r="I12" i="3" s="1"/>
  <c r="E12" i="3"/>
  <c r="G11" i="3"/>
  <c r="F11" i="3"/>
  <c r="H11" i="3" s="1"/>
  <c r="I11" i="3" s="1"/>
  <c r="E11" i="3"/>
  <c r="G10" i="3"/>
  <c r="F10" i="3"/>
  <c r="H10" i="3" s="1"/>
  <c r="I10" i="3" s="1"/>
  <c r="E10" i="3"/>
  <c r="G9" i="3"/>
  <c r="F9" i="3"/>
  <c r="H9" i="3" s="1"/>
  <c r="I9" i="3" s="1"/>
  <c r="E9" i="3"/>
  <c r="G8" i="3"/>
  <c r="F8" i="3"/>
  <c r="H8" i="3" s="1"/>
  <c r="I8" i="3" s="1"/>
  <c r="E8" i="3"/>
  <c r="G7" i="3"/>
  <c r="F7" i="3"/>
  <c r="H7" i="3" s="1"/>
  <c r="I7" i="3" s="1"/>
  <c r="E7" i="3"/>
  <c r="G6" i="3"/>
  <c r="F6" i="3"/>
  <c r="H6" i="3" s="1"/>
  <c r="I6" i="3" s="1"/>
  <c r="E6" i="3"/>
  <c r="G5" i="3"/>
  <c r="F5" i="3"/>
  <c r="H5" i="3" s="1"/>
  <c r="I5" i="3" s="1"/>
  <c r="E5" i="3"/>
  <c r="D51" i="1"/>
  <c r="D51" i="2"/>
  <c r="D58" i="2"/>
  <c r="E57" i="2"/>
  <c r="E56" i="2"/>
  <c r="E55" i="2"/>
  <c r="E58" i="2" s="1"/>
  <c r="E50" i="2"/>
  <c r="E49" i="2"/>
  <c r="E48" i="2"/>
  <c r="E47" i="2"/>
  <c r="D40" i="2"/>
  <c r="C40" i="2"/>
  <c r="D39" i="2"/>
  <c r="C39" i="2"/>
  <c r="G38" i="2"/>
  <c r="F38" i="2"/>
  <c r="H38" i="2" s="1"/>
  <c r="I38" i="2" s="1"/>
  <c r="E38" i="2"/>
  <c r="G37" i="2"/>
  <c r="F37" i="2"/>
  <c r="H37" i="2" s="1"/>
  <c r="I37" i="2" s="1"/>
  <c r="E37" i="2"/>
  <c r="G36" i="2"/>
  <c r="F36" i="2"/>
  <c r="H36" i="2" s="1"/>
  <c r="I36" i="2" s="1"/>
  <c r="E36" i="2"/>
  <c r="G35" i="2"/>
  <c r="F35" i="2"/>
  <c r="H35" i="2" s="1"/>
  <c r="I35" i="2" s="1"/>
  <c r="E35" i="2"/>
  <c r="G34" i="2"/>
  <c r="F34" i="2"/>
  <c r="H34" i="2" s="1"/>
  <c r="I34" i="2" s="1"/>
  <c r="E34" i="2"/>
  <c r="G33" i="2"/>
  <c r="F33" i="2"/>
  <c r="H33" i="2" s="1"/>
  <c r="I33" i="2" s="1"/>
  <c r="E33" i="2"/>
  <c r="G32" i="2"/>
  <c r="F32" i="2"/>
  <c r="H32" i="2" s="1"/>
  <c r="I32" i="2" s="1"/>
  <c r="E32" i="2"/>
  <c r="G31" i="2"/>
  <c r="F31" i="2"/>
  <c r="H31" i="2" s="1"/>
  <c r="I31" i="2" s="1"/>
  <c r="E31" i="2"/>
  <c r="G30" i="2"/>
  <c r="F30" i="2"/>
  <c r="H30" i="2" s="1"/>
  <c r="I30" i="2" s="1"/>
  <c r="E30" i="2"/>
  <c r="G29" i="2"/>
  <c r="F29" i="2"/>
  <c r="H29" i="2" s="1"/>
  <c r="I29" i="2" s="1"/>
  <c r="E29" i="2"/>
  <c r="G28" i="2"/>
  <c r="F28" i="2"/>
  <c r="H28" i="2" s="1"/>
  <c r="I28" i="2" s="1"/>
  <c r="E28" i="2"/>
  <c r="G27" i="2"/>
  <c r="F27" i="2"/>
  <c r="H27" i="2" s="1"/>
  <c r="I27" i="2" s="1"/>
  <c r="E27" i="2"/>
  <c r="G26" i="2"/>
  <c r="F26" i="2"/>
  <c r="H26" i="2" s="1"/>
  <c r="I26" i="2" s="1"/>
  <c r="E26" i="2"/>
  <c r="G25" i="2"/>
  <c r="F25" i="2"/>
  <c r="H25" i="2" s="1"/>
  <c r="I25" i="2" s="1"/>
  <c r="E25" i="2"/>
  <c r="G24" i="2"/>
  <c r="F24" i="2"/>
  <c r="H24" i="2" s="1"/>
  <c r="I24" i="2" s="1"/>
  <c r="E24" i="2"/>
  <c r="G23" i="2"/>
  <c r="F23" i="2"/>
  <c r="H23" i="2" s="1"/>
  <c r="I23" i="2" s="1"/>
  <c r="E23" i="2"/>
  <c r="G22" i="2"/>
  <c r="F22" i="2"/>
  <c r="H22" i="2" s="1"/>
  <c r="I22" i="2" s="1"/>
  <c r="E22" i="2"/>
  <c r="G21" i="2"/>
  <c r="F21" i="2"/>
  <c r="H21" i="2" s="1"/>
  <c r="I21" i="2" s="1"/>
  <c r="E21" i="2"/>
  <c r="G20" i="2"/>
  <c r="F20" i="2"/>
  <c r="H20" i="2" s="1"/>
  <c r="I20" i="2" s="1"/>
  <c r="E20" i="2"/>
  <c r="G19" i="2"/>
  <c r="F19" i="2"/>
  <c r="H19" i="2" s="1"/>
  <c r="I19" i="2" s="1"/>
  <c r="E19" i="2"/>
  <c r="G18" i="2"/>
  <c r="F18" i="2"/>
  <c r="H18" i="2" s="1"/>
  <c r="I18" i="2" s="1"/>
  <c r="E18" i="2"/>
  <c r="G17" i="2"/>
  <c r="F17" i="2"/>
  <c r="H17" i="2" s="1"/>
  <c r="I17" i="2" s="1"/>
  <c r="E17" i="2"/>
  <c r="G16" i="2"/>
  <c r="F16" i="2"/>
  <c r="H16" i="2" s="1"/>
  <c r="I16" i="2" s="1"/>
  <c r="E16" i="2"/>
  <c r="G15" i="2"/>
  <c r="F15" i="2"/>
  <c r="H15" i="2" s="1"/>
  <c r="I15" i="2" s="1"/>
  <c r="E15" i="2"/>
  <c r="G14" i="2"/>
  <c r="F14" i="2"/>
  <c r="H14" i="2" s="1"/>
  <c r="I14" i="2" s="1"/>
  <c r="E14" i="2"/>
  <c r="G13" i="2"/>
  <c r="F13" i="2"/>
  <c r="H13" i="2" s="1"/>
  <c r="I13" i="2" s="1"/>
  <c r="E13" i="2"/>
  <c r="G12" i="2"/>
  <c r="F12" i="2"/>
  <c r="H12" i="2" s="1"/>
  <c r="I12" i="2" s="1"/>
  <c r="E12" i="2"/>
  <c r="G11" i="2"/>
  <c r="F11" i="2"/>
  <c r="H11" i="2" s="1"/>
  <c r="I11" i="2" s="1"/>
  <c r="E11" i="2"/>
  <c r="G10" i="2"/>
  <c r="F10" i="2"/>
  <c r="H10" i="2" s="1"/>
  <c r="I10" i="2" s="1"/>
  <c r="E10" i="2"/>
  <c r="G9" i="2"/>
  <c r="F9" i="2"/>
  <c r="H9" i="2" s="1"/>
  <c r="I9" i="2" s="1"/>
  <c r="E9" i="2"/>
  <c r="G8" i="2"/>
  <c r="F8" i="2"/>
  <c r="H8" i="2" s="1"/>
  <c r="I8" i="2" s="1"/>
  <c r="E8" i="2"/>
  <c r="G7" i="2"/>
  <c r="F7" i="2"/>
  <c r="H7" i="2" s="1"/>
  <c r="I7" i="2" s="1"/>
  <c r="E7" i="2"/>
  <c r="G6" i="2"/>
  <c r="F6" i="2"/>
  <c r="H6" i="2" s="1"/>
  <c r="I6" i="2" s="1"/>
  <c r="E6" i="2"/>
  <c r="G5" i="2"/>
  <c r="F5" i="2"/>
  <c r="H5" i="2" s="1"/>
  <c r="I5" i="2" s="1"/>
  <c r="E5" i="2"/>
  <c r="D58" i="1"/>
  <c r="E57" i="1"/>
  <c r="E56" i="1"/>
  <c r="E55" i="1"/>
  <c r="E58" i="1" s="1"/>
  <c r="E26" i="1"/>
  <c r="E50" i="1"/>
  <c r="E49" i="1"/>
  <c r="E48" i="1"/>
  <c r="E47" i="1"/>
  <c r="D40" i="1"/>
  <c r="C40" i="1"/>
  <c r="D39" i="1"/>
  <c r="C39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5" i="1"/>
  <c r="F6" i="1"/>
  <c r="H6" i="1" s="1"/>
  <c r="I6" i="1" s="1"/>
  <c r="F7" i="1"/>
  <c r="H7" i="1" s="1"/>
  <c r="I7" i="1" s="1"/>
  <c r="F8" i="1"/>
  <c r="H8" i="1" s="1"/>
  <c r="I8" i="1" s="1"/>
  <c r="F9" i="1"/>
  <c r="H9" i="1" s="1"/>
  <c r="I9" i="1" s="1"/>
  <c r="F10" i="1"/>
  <c r="H10" i="1" s="1"/>
  <c r="I10" i="1" s="1"/>
  <c r="F11" i="1"/>
  <c r="H11" i="1" s="1"/>
  <c r="I11" i="1" s="1"/>
  <c r="F12" i="1"/>
  <c r="H12" i="1" s="1"/>
  <c r="I12" i="1" s="1"/>
  <c r="F13" i="1"/>
  <c r="H13" i="1" s="1"/>
  <c r="I13" i="1" s="1"/>
  <c r="F14" i="1"/>
  <c r="H14" i="1" s="1"/>
  <c r="I14" i="1" s="1"/>
  <c r="F15" i="1"/>
  <c r="H15" i="1" s="1"/>
  <c r="I15" i="1" s="1"/>
  <c r="F16" i="1"/>
  <c r="H16" i="1" s="1"/>
  <c r="I16" i="1" s="1"/>
  <c r="F17" i="1"/>
  <c r="H17" i="1" s="1"/>
  <c r="I17" i="1" s="1"/>
  <c r="F18" i="1"/>
  <c r="H18" i="1" s="1"/>
  <c r="I18" i="1" s="1"/>
  <c r="F19" i="1"/>
  <c r="H19" i="1" s="1"/>
  <c r="I19" i="1" s="1"/>
  <c r="F20" i="1"/>
  <c r="H20" i="1" s="1"/>
  <c r="I20" i="1" s="1"/>
  <c r="F21" i="1"/>
  <c r="H21" i="1" s="1"/>
  <c r="I21" i="1" s="1"/>
  <c r="F22" i="1"/>
  <c r="H22" i="1" s="1"/>
  <c r="I22" i="1" s="1"/>
  <c r="F23" i="1"/>
  <c r="H23" i="1" s="1"/>
  <c r="I23" i="1" s="1"/>
  <c r="F24" i="1"/>
  <c r="H24" i="1" s="1"/>
  <c r="I24" i="1" s="1"/>
  <c r="F25" i="1"/>
  <c r="H25" i="1" s="1"/>
  <c r="I25" i="1" s="1"/>
  <c r="F26" i="1"/>
  <c r="H26" i="1" s="1"/>
  <c r="I26" i="1" s="1"/>
  <c r="F27" i="1"/>
  <c r="H27" i="1" s="1"/>
  <c r="I27" i="1" s="1"/>
  <c r="F28" i="1"/>
  <c r="H28" i="1" s="1"/>
  <c r="I28" i="1" s="1"/>
  <c r="F29" i="1"/>
  <c r="H29" i="1" s="1"/>
  <c r="I29" i="1" s="1"/>
  <c r="F30" i="1"/>
  <c r="H30" i="1" s="1"/>
  <c r="I30" i="1" s="1"/>
  <c r="F31" i="1"/>
  <c r="H31" i="1" s="1"/>
  <c r="I31" i="1" s="1"/>
  <c r="F32" i="1"/>
  <c r="H32" i="1" s="1"/>
  <c r="I32" i="1" s="1"/>
  <c r="F33" i="1"/>
  <c r="H33" i="1" s="1"/>
  <c r="I33" i="1" s="1"/>
  <c r="F34" i="1"/>
  <c r="H34" i="1" s="1"/>
  <c r="I34" i="1" s="1"/>
  <c r="F35" i="1"/>
  <c r="H35" i="1" s="1"/>
  <c r="I35" i="1" s="1"/>
  <c r="F36" i="1"/>
  <c r="H36" i="1" s="1"/>
  <c r="I36" i="1" s="1"/>
  <c r="F37" i="1"/>
  <c r="H37" i="1" s="1"/>
  <c r="I37" i="1" s="1"/>
  <c r="F38" i="1"/>
  <c r="H38" i="1" s="1"/>
  <c r="I38" i="1" s="1"/>
  <c r="F5" i="1"/>
  <c r="H5" i="1" s="1"/>
  <c r="I5" i="1" s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7" i="1"/>
  <c r="E28" i="1"/>
  <c r="E29" i="1"/>
  <c r="E30" i="1"/>
  <c r="E31" i="1"/>
  <c r="E32" i="1"/>
  <c r="E33" i="1"/>
  <c r="E34" i="1"/>
  <c r="E35" i="1"/>
  <c r="E36" i="1"/>
  <c r="E37" i="1"/>
  <c r="E38" i="1"/>
  <c r="E5" i="1"/>
  <c r="E51" i="1" l="1"/>
  <c r="E51" i="2"/>
</calcChain>
</file>

<file path=xl/sharedStrings.xml><?xml version="1.0" encoding="utf-8"?>
<sst xmlns="http://schemas.openxmlformats.org/spreadsheetml/2006/main" count="258" uniqueCount="84">
  <si>
    <t>No</t>
  </si>
  <si>
    <t>Nama Siswa</t>
  </si>
  <si>
    <t>Nilai</t>
  </si>
  <si>
    <t>Pretest</t>
  </si>
  <si>
    <t>Posttest</t>
  </si>
  <si>
    <t>Siswa 1</t>
  </si>
  <si>
    <t>Siswa 2</t>
  </si>
  <si>
    <t>Siswa 3</t>
  </si>
  <si>
    <t>Siswa 4</t>
  </si>
  <si>
    <t>Siswa 5</t>
  </si>
  <si>
    <t>Siswa 6</t>
  </si>
  <si>
    <t>Siswa 7</t>
  </si>
  <si>
    <t>Siswa 8</t>
  </si>
  <si>
    <t>Siswa 9</t>
  </si>
  <si>
    <t>Siswa 10</t>
  </si>
  <si>
    <t>Siswa 11</t>
  </si>
  <si>
    <t>Siswa 12</t>
  </si>
  <si>
    <t>Siswa 13</t>
  </si>
  <si>
    <t>Siswa 14</t>
  </si>
  <si>
    <t>Siswa 15</t>
  </si>
  <si>
    <t>Siswa 16</t>
  </si>
  <si>
    <t>Siswa 17</t>
  </si>
  <si>
    <t>Siswa 18</t>
  </si>
  <si>
    <t>Siswa 19</t>
  </si>
  <si>
    <t>Siswa 20</t>
  </si>
  <si>
    <t>Siswa 21</t>
  </si>
  <si>
    <t>Siswa 22</t>
  </si>
  <si>
    <t>Siswa 23</t>
  </si>
  <si>
    <t>Siswa 24</t>
  </si>
  <si>
    <t>Siswa 25</t>
  </si>
  <si>
    <t>Siswa 26</t>
  </si>
  <si>
    <t>Siswa 27</t>
  </si>
  <si>
    <t>Siswa 28</t>
  </si>
  <si>
    <t>Siswa 29</t>
  </si>
  <si>
    <t>Siswa 30</t>
  </si>
  <si>
    <t>Siswa 31</t>
  </si>
  <si>
    <t>Siswa 32</t>
  </si>
  <si>
    <t>Siswa 33</t>
  </si>
  <si>
    <t>Siswa 34</t>
  </si>
  <si>
    <t>Selisih</t>
  </si>
  <si>
    <t>Peningkatan</t>
  </si>
  <si>
    <t>N-Gain</t>
  </si>
  <si>
    <t>Evektifitas</t>
  </si>
  <si>
    <t>Status Ketuntasan KKTP (80)</t>
  </si>
  <si>
    <t>Jumlah</t>
  </si>
  <si>
    <t>Standar Deviasi</t>
  </si>
  <si>
    <t>Jumlah siswa tuntas</t>
  </si>
  <si>
    <t xml:space="preserve">Jumlah siswa </t>
  </si>
  <si>
    <t>Persentase ketuntasan</t>
  </si>
  <si>
    <t>Kategori</t>
  </si>
  <si>
    <t>Rentang Nilai</t>
  </si>
  <si>
    <t>Jumlah Siswa</t>
  </si>
  <si>
    <t>Persentase</t>
  </si>
  <si>
    <t>Sangat Baik</t>
  </si>
  <si>
    <t>Baik</t>
  </si>
  <si>
    <t>Cukup</t>
  </si>
  <si>
    <t>Kurang</t>
  </si>
  <si>
    <t>Kategori Efektivitas</t>
  </si>
  <si>
    <t>Rentang N-Gain</t>
  </si>
  <si>
    <t>Tinggi</t>
  </si>
  <si>
    <t>≥ 0.70</t>
  </si>
  <si>
    <t>Sedang</t>
  </si>
  <si>
    <t>0.30–0.69</t>
  </si>
  <si>
    <t>Rendah</t>
  </si>
  <si>
    <t>&lt; 0.30</t>
  </si>
  <si>
    <t>Total</t>
  </si>
  <si>
    <t>85-100</t>
  </si>
  <si>
    <t>70-84</t>
  </si>
  <si>
    <t>55-69</t>
  </si>
  <si>
    <t>&lt; 55</t>
  </si>
  <si>
    <t xml:space="preserve">Total </t>
  </si>
  <si>
    <t>Data Nilai Pretest dan Posttest Hasil Belajar teks Cerita Fantasi Siklus 1</t>
  </si>
  <si>
    <t>Data Nilai Pretest dan Posttest Hasil Belajar teks Cerita Fantasi Siklus 2</t>
  </si>
  <si>
    <t>Data Nilai Pretest dan Posttest Hasil Belajar teks Cerita Fantasi Siklus 3</t>
  </si>
  <si>
    <t>KATEGORI</t>
  </si>
  <si>
    <t>PRETEST (%)</t>
  </si>
  <si>
    <t>POSTTEST (%)</t>
  </si>
  <si>
    <t>TUNTAS</t>
  </si>
  <si>
    <t>TIDAK TUNTAS</t>
  </si>
  <si>
    <t xml:space="preserve">PRETEST  </t>
  </si>
  <si>
    <t xml:space="preserve">POSTTEST </t>
  </si>
  <si>
    <t>Nilai Tertinggi</t>
  </si>
  <si>
    <t>Nilai Terendah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</si>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</sst>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name val="Times New Roman"/>
      <family val="1"/>
    </font>
    <font>
      <b/>
      <sz val="1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4" fillId="0" borderId="0" applyFont="0" applyFill="0" applyBorder="0" applyAlignment="0" applyProtection="0"/>
    <xf numFmtId="0" fontId="5" fillId="0" borderId="0">
      <alignment vertical="center"/>
    </xf>
    <xf numFmtId="9" fontId="5" fillId="0" borderId="0" applyFont="0" applyFill="0" applyBorder="0" applyAlignment="0" applyProtection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7" fillId="0" borderId="1" xfId="2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 wrapText="1"/>
    </xf>
    <xf numFmtId="9" fontId="6" fillId="0" borderId="1" xfId="2" applyNumberFormat="1" applyFont="1" applyBorder="1" applyAlignment="1">
      <alignment horizontal="center" vertical="center" wrapText="1"/>
    </xf>
    <xf numFmtId="9" fontId="6" fillId="0" borderId="1" xfId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9" fontId="7" fillId="0" borderId="1" xfId="1" applyFont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0" fillId="0" borderId="1" xfId="0" applyBorder="1" applyAlignment="1">
      <alignment horizontal="center"/>
    </xf>
    <xf numFmtId="2" fontId="2" fillId="0" borderId="1" xfId="0" applyNumberFormat="1" applyFont="1" applyBorder="1" applyAlignment="1">
      <alignment horizontal="center" vertical="center"/>
    </xf>
    <xf numFmtId="0" fontId="6" fillId="0" borderId="0" xfId="2" applyFont="1" applyAlignment="1">
      <alignment horizontal="center" vertical="center" wrapText="1"/>
    </xf>
    <xf numFmtId="9" fontId="7" fillId="0" borderId="1" xfId="2" applyNumberFormat="1" applyFont="1" applyBorder="1" applyAlignment="1">
      <alignment horizontal="center" vertical="center" wrapText="1"/>
    </xf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9" fontId="9" fillId="0" borderId="1" xfId="1" applyFont="1" applyBorder="1" applyAlignment="1">
      <alignment horizontal="center"/>
    </xf>
    <xf numFmtId="1" fontId="2" fillId="0" borderId="0" xfId="0" applyNumberFormat="1" applyFont="1"/>
    <xf numFmtId="1" fontId="0" fillId="0" borderId="0" xfId="0" applyNumberFormat="1"/>
    <xf numFmtId="0" fontId="2" fillId="0" borderId="0" xfId="0" applyFont="1" applyAlignment="1">
      <alignment horizontal="center"/>
    </xf>
    <xf numFmtId="0" fontId="2" fillId="0" borderId="1" xfId="0" applyFont="1" applyBorder="1"/>
    <xf numFmtId="1" fontId="2" fillId="0" borderId="1" xfId="0" applyNumberFormat="1" applyFont="1" applyBorder="1" applyAlignment="1">
      <alignment horizontal="center"/>
    </xf>
    <xf numFmtId="9" fontId="2" fillId="0" borderId="0" xfId="1" applyFont="1"/>
    <xf numFmtId="9" fontId="1" fillId="0" borderId="4" xfId="1" applyFont="1" applyBorder="1" applyAlignment="1">
      <alignment horizontal="center"/>
    </xf>
    <xf numFmtId="9" fontId="1" fillId="0" borderId="5" xfId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8" fillId="0" borderId="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</cellXfs>
  <cellStyles count="4">
    <cellStyle name="Normal" xfId="0" builtinId="0"/>
    <cellStyle name="Normal 2" xfId="2" xr:uid="{9528DC4A-1A6F-4F8D-BC2C-26AAF05D951C}"/>
    <cellStyle name="Percent" xfId="1" builtinId="5"/>
    <cellStyle name="Percent 2" xfId="3" xr:uid="{3B8CC9F2-E27A-4B22-8E2F-E2C61EC3A9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6E3FA-8FBA-4286-BFAD-EB5E02810305}">
  <dimension ref="A1:K70"/>
  <sheetViews>
    <sheetView topLeftCell="A46" workbookViewId="0">
      <selection activeCell="E70" sqref="E70"/>
    </sheetView>
  </sheetViews>
  <sheetFormatPr defaultRowHeight="15" x14ac:dyDescent="0.25"/>
  <cols>
    <col min="1" max="1" width="9.140625" style="2"/>
    <col min="2" max="2" width="19.140625" style="2" customWidth="1"/>
    <col min="3" max="3" width="14.28515625" style="2" customWidth="1"/>
    <col min="4" max="4" width="13.85546875" style="2" customWidth="1"/>
    <col min="5" max="5" width="30.42578125" style="2" customWidth="1"/>
    <col min="6" max="6" width="13.7109375" style="2" customWidth="1"/>
    <col min="7" max="7" width="16.5703125" style="2" customWidth="1"/>
    <col min="8" max="8" width="16" style="2" customWidth="1"/>
    <col min="9" max="9" width="16.140625" style="2" customWidth="1"/>
    <col min="10" max="16384" width="9.140625" style="2"/>
  </cols>
  <sheetData>
    <row r="1" spans="1:11" x14ac:dyDescent="0.25">
      <c r="A1" s="33" t="s">
        <v>71</v>
      </c>
      <c r="B1" s="33"/>
      <c r="C1" s="33"/>
      <c r="D1" s="33"/>
      <c r="E1" s="33"/>
      <c r="F1" s="33"/>
      <c r="G1" s="33"/>
      <c r="H1" s="33"/>
      <c r="I1" s="33"/>
    </row>
    <row r="2" spans="1:11" x14ac:dyDescent="0.25">
      <c r="A2" s="1"/>
      <c r="B2" s="1"/>
      <c r="C2" s="1"/>
      <c r="D2" s="1"/>
      <c r="E2" s="1"/>
    </row>
    <row r="3" spans="1:11" x14ac:dyDescent="0.25">
      <c r="A3" s="32" t="s">
        <v>0</v>
      </c>
      <c r="B3" s="32" t="s">
        <v>1</v>
      </c>
      <c r="C3" s="31" t="s">
        <v>2</v>
      </c>
      <c r="D3" s="31"/>
      <c r="E3" s="31"/>
      <c r="F3" s="32" t="s">
        <v>39</v>
      </c>
      <c r="G3" s="32" t="s">
        <v>40</v>
      </c>
      <c r="H3" s="32" t="s">
        <v>41</v>
      </c>
      <c r="I3" s="32" t="s">
        <v>42</v>
      </c>
    </row>
    <row r="4" spans="1:11" x14ac:dyDescent="0.25">
      <c r="A4" s="32"/>
      <c r="B4" s="32"/>
      <c r="C4" s="5" t="s">
        <v>3</v>
      </c>
      <c r="D4" s="5" t="s">
        <v>4</v>
      </c>
      <c r="E4" s="5" t="s">
        <v>43</v>
      </c>
      <c r="F4" s="32"/>
      <c r="G4" s="32"/>
      <c r="H4" s="32"/>
      <c r="I4" s="32"/>
    </row>
    <row r="5" spans="1:11" x14ac:dyDescent="0.25">
      <c r="A5" s="3">
        <v>1</v>
      </c>
      <c r="B5" s="3" t="s">
        <v>5</v>
      </c>
      <c r="C5" s="16">
        <v>45</v>
      </c>
      <c r="D5" s="3">
        <v>54</v>
      </c>
      <c r="E5" s="3" t="str">
        <f>IF(D5&lt;80,"TIDAK TUNTAS","TUNTAS")</f>
        <v>TIDAK TUNTAS</v>
      </c>
      <c r="F5" s="3">
        <f t="shared" ref="F5:F38" si="0">D5-C5</f>
        <v>9</v>
      </c>
      <c r="G5" s="3">
        <f t="shared" ref="G5:G38" si="1">100-C5</f>
        <v>55</v>
      </c>
      <c r="H5" s="17">
        <f>F5/34</f>
        <v>0.26470588235294118</v>
      </c>
      <c r="I5" s="3" t="str">
        <f>IF(H5&gt;0.7,"TINGGI",IF(H5&gt;0.3,"SEDANG","RENDAH"))</f>
        <v>RENDAH</v>
      </c>
      <c r="K5" s="23"/>
    </row>
    <row r="6" spans="1:11" x14ac:dyDescent="0.25">
      <c r="A6" s="3">
        <v>2</v>
      </c>
      <c r="B6" s="3" t="s">
        <v>6</v>
      </c>
      <c r="C6" s="16">
        <v>49</v>
      </c>
      <c r="D6" s="3">
        <v>56</v>
      </c>
      <c r="E6" s="3" t="str">
        <f t="shared" ref="E6:E38" si="2">IF(D6&lt;80,"TIDAK TUNTAS","TUNTAS")</f>
        <v>TIDAK TUNTAS</v>
      </c>
      <c r="F6" s="3">
        <f t="shared" si="0"/>
        <v>7</v>
      </c>
      <c r="G6" s="3">
        <f t="shared" si="1"/>
        <v>51</v>
      </c>
      <c r="H6" s="17">
        <f t="shared" ref="H6:H38" si="3">F6/34</f>
        <v>0.20588235294117646</v>
      </c>
      <c r="I6" s="3" t="str">
        <f t="shared" ref="I6:I38" si="4">IF(H6&gt;0.7,"TINGGI",IF(H6&gt;0.3,"SEDANG","RENDAH"))</f>
        <v>RENDAH</v>
      </c>
    </row>
    <row r="7" spans="1:11" x14ac:dyDescent="0.25">
      <c r="A7" s="3">
        <v>3</v>
      </c>
      <c r="B7" s="3" t="s">
        <v>7</v>
      </c>
      <c r="C7" s="16">
        <v>55</v>
      </c>
      <c r="D7" s="3">
        <v>62</v>
      </c>
      <c r="E7" s="3" t="str">
        <f t="shared" si="2"/>
        <v>TIDAK TUNTAS</v>
      </c>
      <c r="F7" s="3">
        <f t="shared" si="0"/>
        <v>7</v>
      </c>
      <c r="G7" s="3">
        <f t="shared" si="1"/>
        <v>45</v>
      </c>
      <c r="H7" s="17">
        <f t="shared" si="3"/>
        <v>0.20588235294117646</v>
      </c>
      <c r="I7" s="3" t="str">
        <f t="shared" si="4"/>
        <v>RENDAH</v>
      </c>
    </row>
    <row r="8" spans="1:11" x14ac:dyDescent="0.25">
      <c r="A8" s="3">
        <v>4</v>
      </c>
      <c r="B8" s="3" t="s">
        <v>8</v>
      </c>
      <c r="C8" s="16">
        <v>53</v>
      </c>
      <c r="D8" s="3">
        <v>80</v>
      </c>
      <c r="E8" s="3" t="str">
        <f t="shared" si="2"/>
        <v>TUNTAS</v>
      </c>
      <c r="F8" s="3">
        <f t="shared" si="0"/>
        <v>27</v>
      </c>
      <c r="G8" s="3">
        <f t="shared" si="1"/>
        <v>47</v>
      </c>
      <c r="H8" s="17">
        <f t="shared" si="3"/>
        <v>0.79411764705882348</v>
      </c>
      <c r="I8" s="3" t="str">
        <f t="shared" si="4"/>
        <v>TINGGI</v>
      </c>
    </row>
    <row r="9" spans="1:11" x14ac:dyDescent="0.25">
      <c r="A9" s="3">
        <v>5</v>
      </c>
      <c r="B9" s="3" t="s">
        <v>9</v>
      </c>
      <c r="C9" s="16">
        <v>53</v>
      </c>
      <c r="D9" s="3">
        <v>64</v>
      </c>
      <c r="E9" s="3" t="str">
        <f t="shared" si="2"/>
        <v>TIDAK TUNTAS</v>
      </c>
      <c r="F9" s="3">
        <f t="shared" si="0"/>
        <v>11</v>
      </c>
      <c r="G9" s="3">
        <f t="shared" si="1"/>
        <v>47</v>
      </c>
      <c r="H9" s="17">
        <f t="shared" si="3"/>
        <v>0.3235294117647059</v>
      </c>
      <c r="I9" s="3" t="str">
        <f t="shared" si="4"/>
        <v>SEDANG</v>
      </c>
    </row>
    <row r="10" spans="1:11" x14ac:dyDescent="0.25">
      <c r="A10" s="3">
        <v>6</v>
      </c>
      <c r="B10" s="3" t="s">
        <v>10</v>
      </c>
      <c r="C10" s="16">
        <v>52</v>
      </c>
      <c r="D10" s="3">
        <v>61</v>
      </c>
      <c r="E10" s="3" t="str">
        <f t="shared" si="2"/>
        <v>TIDAK TUNTAS</v>
      </c>
      <c r="F10" s="3">
        <f t="shared" si="0"/>
        <v>9</v>
      </c>
      <c r="G10" s="3">
        <f t="shared" si="1"/>
        <v>48</v>
      </c>
      <c r="H10" s="17">
        <f t="shared" si="3"/>
        <v>0.26470588235294118</v>
      </c>
      <c r="I10" s="3" t="str">
        <f t="shared" si="4"/>
        <v>RENDAH</v>
      </c>
    </row>
    <row r="11" spans="1:11" x14ac:dyDescent="0.25">
      <c r="A11" s="3">
        <v>7</v>
      </c>
      <c r="B11" s="3" t="s">
        <v>11</v>
      </c>
      <c r="C11" s="16">
        <v>48</v>
      </c>
      <c r="D11" s="3">
        <v>54</v>
      </c>
      <c r="E11" s="3" t="str">
        <f t="shared" si="2"/>
        <v>TIDAK TUNTAS</v>
      </c>
      <c r="F11" s="3">
        <f t="shared" si="0"/>
        <v>6</v>
      </c>
      <c r="G11" s="3">
        <f t="shared" si="1"/>
        <v>52</v>
      </c>
      <c r="H11" s="17">
        <f t="shared" si="3"/>
        <v>0.17647058823529413</v>
      </c>
      <c r="I11" s="3" t="str">
        <f t="shared" si="4"/>
        <v>RENDAH</v>
      </c>
    </row>
    <row r="12" spans="1:11" x14ac:dyDescent="0.25">
      <c r="A12" s="3">
        <v>8</v>
      </c>
      <c r="B12" s="3" t="s">
        <v>12</v>
      </c>
      <c r="C12" s="16">
        <v>55</v>
      </c>
      <c r="D12" s="3">
        <v>64</v>
      </c>
      <c r="E12" s="3" t="str">
        <f t="shared" si="2"/>
        <v>TIDAK TUNTAS</v>
      </c>
      <c r="F12" s="3">
        <f t="shared" si="0"/>
        <v>9</v>
      </c>
      <c r="G12" s="3">
        <f t="shared" si="1"/>
        <v>45</v>
      </c>
      <c r="H12" s="17">
        <f t="shared" si="3"/>
        <v>0.26470588235294118</v>
      </c>
      <c r="I12" s="3" t="str">
        <f t="shared" si="4"/>
        <v>RENDAH</v>
      </c>
    </row>
    <row r="13" spans="1:11" x14ac:dyDescent="0.25">
      <c r="A13" s="3">
        <v>9</v>
      </c>
      <c r="B13" s="3" t="s">
        <v>13</v>
      </c>
      <c r="C13" s="16">
        <v>53</v>
      </c>
      <c r="D13" s="3">
        <v>65</v>
      </c>
      <c r="E13" s="3" t="str">
        <f t="shared" si="2"/>
        <v>TIDAK TUNTAS</v>
      </c>
      <c r="F13" s="3">
        <f t="shared" si="0"/>
        <v>12</v>
      </c>
      <c r="G13" s="3">
        <f t="shared" si="1"/>
        <v>47</v>
      </c>
      <c r="H13" s="17">
        <f t="shared" si="3"/>
        <v>0.35294117647058826</v>
      </c>
      <c r="I13" s="3" t="str">
        <f t="shared" si="4"/>
        <v>SEDANG</v>
      </c>
    </row>
    <row r="14" spans="1:11" x14ac:dyDescent="0.25">
      <c r="A14" s="3">
        <v>10</v>
      </c>
      <c r="B14" s="3" t="s">
        <v>14</v>
      </c>
      <c r="C14" s="16">
        <v>55</v>
      </c>
      <c r="D14" s="3">
        <v>63</v>
      </c>
      <c r="E14" s="3" t="str">
        <f t="shared" si="2"/>
        <v>TIDAK TUNTAS</v>
      </c>
      <c r="F14" s="3">
        <f t="shared" si="0"/>
        <v>8</v>
      </c>
      <c r="G14" s="3">
        <f t="shared" si="1"/>
        <v>45</v>
      </c>
      <c r="H14" s="17">
        <f t="shared" si="3"/>
        <v>0.23529411764705882</v>
      </c>
      <c r="I14" s="3" t="str">
        <f t="shared" si="4"/>
        <v>RENDAH</v>
      </c>
    </row>
    <row r="15" spans="1:11" x14ac:dyDescent="0.25">
      <c r="A15" s="3">
        <v>11</v>
      </c>
      <c r="B15" s="3" t="s">
        <v>15</v>
      </c>
      <c r="C15" s="16">
        <v>57</v>
      </c>
      <c r="D15" s="3">
        <v>65</v>
      </c>
      <c r="E15" s="3" t="str">
        <f t="shared" si="2"/>
        <v>TIDAK TUNTAS</v>
      </c>
      <c r="F15" s="3">
        <f t="shared" si="0"/>
        <v>8</v>
      </c>
      <c r="G15" s="3">
        <f t="shared" si="1"/>
        <v>43</v>
      </c>
      <c r="H15" s="17">
        <f t="shared" si="3"/>
        <v>0.23529411764705882</v>
      </c>
      <c r="I15" s="3" t="str">
        <f t="shared" si="4"/>
        <v>RENDAH</v>
      </c>
    </row>
    <row r="16" spans="1:11" x14ac:dyDescent="0.25">
      <c r="A16" s="3">
        <v>12</v>
      </c>
      <c r="B16" s="3" t="s">
        <v>16</v>
      </c>
      <c r="C16" s="16">
        <v>40</v>
      </c>
      <c r="D16" s="3">
        <v>52</v>
      </c>
      <c r="E16" s="3" t="str">
        <f t="shared" si="2"/>
        <v>TIDAK TUNTAS</v>
      </c>
      <c r="F16" s="3">
        <f t="shared" si="0"/>
        <v>12</v>
      </c>
      <c r="G16" s="3">
        <f t="shared" si="1"/>
        <v>60</v>
      </c>
      <c r="H16" s="17">
        <f t="shared" si="3"/>
        <v>0.35294117647058826</v>
      </c>
      <c r="I16" s="3" t="str">
        <f t="shared" si="4"/>
        <v>SEDANG</v>
      </c>
    </row>
    <row r="17" spans="1:9" x14ac:dyDescent="0.25">
      <c r="A17" s="3">
        <v>13</v>
      </c>
      <c r="B17" s="3" t="s">
        <v>17</v>
      </c>
      <c r="C17" s="16">
        <v>50</v>
      </c>
      <c r="D17" s="3">
        <v>61</v>
      </c>
      <c r="E17" s="3" t="str">
        <f t="shared" si="2"/>
        <v>TIDAK TUNTAS</v>
      </c>
      <c r="F17" s="3">
        <f t="shared" si="0"/>
        <v>11</v>
      </c>
      <c r="G17" s="3">
        <f t="shared" si="1"/>
        <v>50</v>
      </c>
      <c r="H17" s="17">
        <f t="shared" si="3"/>
        <v>0.3235294117647059</v>
      </c>
      <c r="I17" s="3" t="str">
        <f t="shared" si="4"/>
        <v>SEDANG</v>
      </c>
    </row>
    <row r="18" spans="1:9" x14ac:dyDescent="0.25">
      <c r="A18" s="3">
        <v>14</v>
      </c>
      <c r="B18" s="3" t="s">
        <v>18</v>
      </c>
      <c r="C18" s="16">
        <v>52</v>
      </c>
      <c r="D18" s="3">
        <v>60</v>
      </c>
      <c r="E18" s="3" t="str">
        <f t="shared" si="2"/>
        <v>TIDAK TUNTAS</v>
      </c>
      <c r="F18" s="3">
        <f t="shared" si="0"/>
        <v>8</v>
      </c>
      <c r="G18" s="3">
        <f t="shared" si="1"/>
        <v>48</v>
      </c>
      <c r="H18" s="17">
        <f t="shared" si="3"/>
        <v>0.23529411764705882</v>
      </c>
      <c r="I18" s="3" t="str">
        <f t="shared" si="4"/>
        <v>RENDAH</v>
      </c>
    </row>
    <row r="19" spans="1:9" x14ac:dyDescent="0.25">
      <c r="A19" s="3">
        <v>15</v>
      </c>
      <c r="B19" s="3" t="s">
        <v>19</v>
      </c>
      <c r="C19" s="16">
        <v>55</v>
      </c>
      <c r="D19" s="3">
        <v>65</v>
      </c>
      <c r="E19" s="3" t="str">
        <f t="shared" si="2"/>
        <v>TIDAK TUNTAS</v>
      </c>
      <c r="F19" s="3">
        <f t="shared" si="0"/>
        <v>10</v>
      </c>
      <c r="G19" s="3">
        <f t="shared" si="1"/>
        <v>45</v>
      </c>
      <c r="H19" s="17">
        <f t="shared" si="3"/>
        <v>0.29411764705882354</v>
      </c>
      <c r="I19" s="3" t="str">
        <f t="shared" si="4"/>
        <v>RENDAH</v>
      </c>
    </row>
    <row r="20" spans="1:9" x14ac:dyDescent="0.25">
      <c r="A20" s="3">
        <v>16</v>
      </c>
      <c r="B20" s="3" t="s">
        <v>20</v>
      </c>
      <c r="C20" s="16">
        <v>63</v>
      </c>
      <c r="D20" s="3">
        <v>80</v>
      </c>
      <c r="E20" s="3" t="str">
        <f t="shared" si="2"/>
        <v>TUNTAS</v>
      </c>
      <c r="F20" s="3">
        <f t="shared" si="0"/>
        <v>17</v>
      </c>
      <c r="G20" s="3">
        <f t="shared" si="1"/>
        <v>37</v>
      </c>
      <c r="H20" s="17">
        <f t="shared" si="3"/>
        <v>0.5</v>
      </c>
      <c r="I20" s="3" t="str">
        <f t="shared" si="4"/>
        <v>SEDANG</v>
      </c>
    </row>
    <row r="21" spans="1:9" x14ac:dyDescent="0.25">
      <c r="A21" s="3">
        <v>17</v>
      </c>
      <c r="B21" s="3" t="s">
        <v>21</v>
      </c>
      <c r="C21" s="16">
        <v>59</v>
      </c>
      <c r="D21" s="3">
        <v>68</v>
      </c>
      <c r="E21" s="3" t="str">
        <f t="shared" si="2"/>
        <v>TIDAK TUNTAS</v>
      </c>
      <c r="F21" s="3">
        <f t="shared" si="0"/>
        <v>9</v>
      </c>
      <c r="G21" s="3">
        <f t="shared" si="1"/>
        <v>41</v>
      </c>
      <c r="H21" s="17">
        <f t="shared" si="3"/>
        <v>0.26470588235294118</v>
      </c>
      <c r="I21" s="3" t="str">
        <f t="shared" si="4"/>
        <v>RENDAH</v>
      </c>
    </row>
    <row r="22" spans="1:9" x14ac:dyDescent="0.25">
      <c r="A22" s="3">
        <v>18</v>
      </c>
      <c r="B22" s="3" t="s">
        <v>22</v>
      </c>
      <c r="C22" s="16">
        <v>42</v>
      </c>
      <c r="D22" s="3">
        <v>52</v>
      </c>
      <c r="E22" s="3" t="str">
        <f t="shared" si="2"/>
        <v>TIDAK TUNTAS</v>
      </c>
      <c r="F22" s="3">
        <f t="shared" si="0"/>
        <v>10</v>
      </c>
      <c r="G22" s="3">
        <f t="shared" si="1"/>
        <v>58</v>
      </c>
      <c r="H22" s="17">
        <f t="shared" si="3"/>
        <v>0.29411764705882354</v>
      </c>
      <c r="I22" s="3" t="str">
        <f t="shared" si="4"/>
        <v>RENDAH</v>
      </c>
    </row>
    <row r="23" spans="1:9" x14ac:dyDescent="0.25">
      <c r="A23" s="3">
        <v>19</v>
      </c>
      <c r="B23" s="3" t="s">
        <v>23</v>
      </c>
      <c r="C23" s="16">
        <v>62</v>
      </c>
      <c r="D23" s="3">
        <v>80</v>
      </c>
      <c r="E23" s="3" t="str">
        <f t="shared" si="2"/>
        <v>TUNTAS</v>
      </c>
      <c r="F23" s="3">
        <f t="shared" si="0"/>
        <v>18</v>
      </c>
      <c r="G23" s="3">
        <f t="shared" si="1"/>
        <v>38</v>
      </c>
      <c r="H23" s="17">
        <f t="shared" si="3"/>
        <v>0.52941176470588236</v>
      </c>
      <c r="I23" s="3" t="str">
        <f t="shared" si="4"/>
        <v>SEDANG</v>
      </c>
    </row>
    <row r="24" spans="1:9" x14ac:dyDescent="0.25">
      <c r="A24" s="3">
        <v>20</v>
      </c>
      <c r="B24" s="3" t="s">
        <v>24</v>
      </c>
      <c r="C24" s="16">
        <v>55</v>
      </c>
      <c r="D24" s="3">
        <v>62</v>
      </c>
      <c r="E24" s="3" t="str">
        <f t="shared" si="2"/>
        <v>TIDAK TUNTAS</v>
      </c>
      <c r="F24" s="3">
        <f t="shared" si="0"/>
        <v>7</v>
      </c>
      <c r="G24" s="3">
        <f t="shared" si="1"/>
        <v>45</v>
      </c>
      <c r="H24" s="17">
        <f t="shared" si="3"/>
        <v>0.20588235294117646</v>
      </c>
      <c r="I24" s="3" t="str">
        <f t="shared" si="4"/>
        <v>RENDAH</v>
      </c>
    </row>
    <row r="25" spans="1:9" x14ac:dyDescent="0.25">
      <c r="A25" s="3">
        <v>21</v>
      </c>
      <c r="B25" s="3" t="s">
        <v>25</v>
      </c>
      <c r="C25" s="16">
        <v>45</v>
      </c>
      <c r="D25" s="3">
        <v>54</v>
      </c>
      <c r="E25" s="3" t="str">
        <f t="shared" si="2"/>
        <v>TIDAK TUNTAS</v>
      </c>
      <c r="F25" s="3">
        <f t="shared" si="0"/>
        <v>9</v>
      </c>
      <c r="G25" s="3">
        <f t="shared" si="1"/>
        <v>55</v>
      </c>
      <c r="H25" s="17">
        <f t="shared" si="3"/>
        <v>0.26470588235294118</v>
      </c>
      <c r="I25" s="3" t="str">
        <f t="shared" si="4"/>
        <v>RENDAH</v>
      </c>
    </row>
    <row r="26" spans="1:9" x14ac:dyDescent="0.25">
      <c r="A26" s="3">
        <v>22</v>
      </c>
      <c r="B26" s="3" t="s">
        <v>26</v>
      </c>
      <c r="C26" s="16">
        <v>52</v>
      </c>
      <c r="D26" s="3">
        <v>60</v>
      </c>
      <c r="E26" s="3" t="str">
        <f t="shared" si="2"/>
        <v>TIDAK TUNTAS</v>
      </c>
      <c r="F26" s="3">
        <f t="shared" si="0"/>
        <v>8</v>
      </c>
      <c r="G26" s="3">
        <f t="shared" si="1"/>
        <v>48</v>
      </c>
      <c r="H26" s="17">
        <f t="shared" si="3"/>
        <v>0.23529411764705882</v>
      </c>
      <c r="I26" s="3" t="str">
        <f t="shared" si="4"/>
        <v>RENDAH</v>
      </c>
    </row>
    <row r="27" spans="1:9" x14ac:dyDescent="0.25">
      <c r="A27" s="3">
        <v>23</v>
      </c>
      <c r="B27" s="3" t="s">
        <v>27</v>
      </c>
      <c r="C27" s="16">
        <v>57</v>
      </c>
      <c r="D27" s="3">
        <v>66</v>
      </c>
      <c r="E27" s="3" t="str">
        <f t="shared" si="2"/>
        <v>TIDAK TUNTAS</v>
      </c>
      <c r="F27" s="3">
        <f t="shared" si="0"/>
        <v>9</v>
      </c>
      <c r="G27" s="3">
        <f t="shared" si="1"/>
        <v>43</v>
      </c>
      <c r="H27" s="17">
        <f t="shared" si="3"/>
        <v>0.26470588235294118</v>
      </c>
      <c r="I27" s="3" t="str">
        <f t="shared" si="4"/>
        <v>RENDAH</v>
      </c>
    </row>
    <row r="28" spans="1:9" x14ac:dyDescent="0.25">
      <c r="A28" s="3">
        <v>24</v>
      </c>
      <c r="B28" s="3" t="s">
        <v>28</v>
      </c>
      <c r="C28" s="16">
        <v>60</v>
      </c>
      <c r="D28" s="3">
        <v>70</v>
      </c>
      <c r="E28" s="3" t="str">
        <f t="shared" si="2"/>
        <v>TIDAK TUNTAS</v>
      </c>
      <c r="F28" s="3">
        <f t="shared" si="0"/>
        <v>10</v>
      </c>
      <c r="G28" s="3">
        <f t="shared" si="1"/>
        <v>40</v>
      </c>
      <c r="H28" s="17">
        <f t="shared" si="3"/>
        <v>0.29411764705882354</v>
      </c>
      <c r="I28" s="3" t="str">
        <f t="shared" si="4"/>
        <v>RENDAH</v>
      </c>
    </row>
    <row r="29" spans="1:9" x14ac:dyDescent="0.25">
      <c r="A29" s="3">
        <v>25</v>
      </c>
      <c r="B29" s="3" t="s">
        <v>29</v>
      </c>
      <c r="C29" s="16">
        <v>57</v>
      </c>
      <c r="D29" s="3">
        <v>65</v>
      </c>
      <c r="E29" s="3" t="str">
        <f t="shared" si="2"/>
        <v>TIDAK TUNTAS</v>
      </c>
      <c r="F29" s="3">
        <f t="shared" si="0"/>
        <v>8</v>
      </c>
      <c r="G29" s="3">
        <f t="shared" si="1"/>
        <v>43</v>
      </c>
      <c r="H29" s="17">
        <f t="shared" si="3"/>
        <v>0.23529411764705882</v>
      </c>
      <c r="I29" s="3" t="str">
        <f t="shared" si="4"/>
        <v>RENDAH</v>
      </c>
    </row>
    <row r="30" spans="1:9" x14ac:dyDescent="0.25">
      <c r="A30" s="3">
        <v>26</v>
      </c>
      <c r="B30" s="3" t="s">
        <v>30</v>
      </c>
      <c r="C30" s="16">
        <v>64</v>
      </c>
      <c r="D30" s="3">
        <v>82</v>
      </c>
      <c r="E30" s="3" t="str">
        <f t="shared" si="2"/>
        <v>TUNTAS</v>
      </c>
      <c r="F30" s="3">
        <f t="shared" si="0"/>
        <v>18</v>
      </c>
      <c r="G30" s="3">
        <f t="shared" si="1"/>
        <v>36</v>
      </c>
      <c r="H30" s="17">
        <f t="shared" si="3"/>
        <v>0.52941176470588236</v>
      </c>
      <c r="I30" s="3" t="str">
        <f t="shared" si="4"/>
        <v>SEDANG</v>
      </c>
    </row>
    <row r="31" spans="1:9" x14ac:dyDescent="0.25">
      <c r="A31" s="3">
        <v>27</v>
      </c>
      <c r="B31" s="3" t="s">
        <v>31</v>
      </c>
      <c r="C31" s="16">
        <v>55</v>
      </c>
      <c r="D31" s="3">
        <v>65</v>
      </c>
      <c r="E31" s="3" t="str">
        <f t="shared" si="2"/>
        <v>TIDAK TUNTAS</v>
      </c>
      <c r="F31" s="3">
        <f t="shared" si="0"/>
        <v>10</v>
      </c>
      <c r="G31" s="3">
        <f t="shared" si="1"/>
        <v>45</v>
      </c>
      <c r="H31" s="17">
        <f t="shared" si="3"/>
        <v>0.29411764705882354</v>
      </c>
      <c r="I31" s="3" t="str">
        <f t="shared" si="4"/>
        <v>RENDAH</v>
      </c>
    </row>
    <row r="32" spans="1:9" x14ac:dyDescent="0.25">
      <c r="A32" s="3">
        <v>28</v>
      </c>
      <c r="B32" s="3" t="s">
        <v>32</v>
      </c>
      <c r="C32" s="16">
        <v>59</v>
      </c>
      <c r="D32" s="3">
        <v>70</v>
      </c>
      <c r="E32" s="3" t="str">
        <f t="shared" si="2"/>
        <v>TIDAK TUNTAS</v>
      </c>
      <c r="F32" s="3">
        <f t="shared" si="0"/>
        <v>11</v>
      </c>
      <c r="G32" s="3">
        <f t="shared" si="1"/>
        <v>41</v>
      </c>
      <c r="H32" s="17">
        <f t="shared" si="3"/>
        <v>0.3235294117647059</v>
      </c>
      <c r="I32" s="3" t="str">
        <f t="shared" si="4"/>
        <v>SEDANG</v>
      </c>
    </row>
    <row r="33" spans="1:9" x14ac:dyDescent="0.25">
      <c r="A33" s="3">
        <v>29</v>
      </c>
      <c r="B33" s="3" t="s">
        <v>33</v>
      </c>
      <c r="C33" s="16">
        <v>56</v>
      </c>
      <c r="D33" s="3">
        <v>65</v>
      </c>
      <c r="E33" s="3" t="str">
        <f t="shared" si="2"/>
        <v>TIDAK TUNTAS</v>
      </c>
      <c r="F33" s="3">
        <f t="shared" si="0"/>
        <v>9</v>
      </c>
      <c r="G33" s="3">
        <f t="shared" si="1"/>
        <v>44</v>
      </c>
      <c r="H33" s="17">
        <f t="shared" si="3"/>
        <v>0.26470588235294118</v>
      </c>
      <c r="I33" s="3" t="str">
        <f t="shared" si="4"/>
        <v>RENDAH</v>
      </c>
    </row>
    <row r="34" spans="1:9" x14ac:dyDescent="0.25">
      <c r="A34" s="3">
        <v>30</v>
      </c>
      <c r="B34" s="3" t="s">
        <v>34</v>
      </c>
      <c r="C34" s="16">
        <v>40</v>
      </c>
      <c r="D34" s="3">
        <v>53</v>
      </c>
      <c r="E34" s="3" t="str">
        <f t="shared" si="2"/>
        <v>TIDAK TUNTAS</v>
      </c>
      <c r="F34" s="3">
        <f t="shared" si="0"/>
        <v>13</v>
      </c>
      <c r="G34" s="3">
        <f t="shared" si="1"/>
        <v>60</v>
      </c>
      <c r="H34" s="17">
        <f t="shared" si="3"/>
        <v>0.38235294117647056</v>
      </c>
      <c r="I34" s="3" t="str">
        <f t="shared" si="4"/>
        <v>SEDANG</v>
      </c>
    </row>
    <row r="35" spans="1:9" x14ac:dyDescent="0.25">
      <c r="A35" s="3">
        <v>31</v>
      </c>
      <c r="B35" s="3" t="s">
        <v>35</v>
      </c>
      <c r="C35" s="16">
        <v>58</v>
      </c>
      <c r="D35" s="3">
        <v>80</v>
      </c>
      <c r="E35" s="3" t="str">
        <f t="shared" si="2"/>
        <v>TUNTAS</v>
      </c>
      <c r="F35" s="3">
        <f t="shared" si="0"/>
        <v>22</v>
      </c>
      <c r="G35" s="3">
        <f t="shared" si="1"/>
        <v>42</v>
      </c>
      <c r="H35" s="17">
        <f t="shared" si="3"/>
        <v>0.6470588235294118</v>
      </c>
      <c r="I35" s="3" t="str">
        <f t="shared" si="4"/>
        <v>SEDANG</v>
      </c>
    </row>
    <row r="36" spans="1:9" x14ac:dyDescent="0.25">
      <c r="A36" s="3">
        <v>32</v>
      </c>
      <c r="B36" s="3" t="s">
        <v>36</v>
      </c>
      <c r="C36" s="16">
        <v>50</v>
      </c>
      <c r="D36" s="3">
        <v>60</v>
      </c>
      <c r="E36" s="3" t="str">
        <f t="shared" si="2"/>
        <v>TIDAK TUNTAS</v>
      </c>
      <c r="F36" s="3">
        <f t="shared" si="0"/>
        <v>10</v>
      </c>
      <c r="G36" s="3">
        <f t="shared" si="1"/>
        <v>50</v>
      </c>
      <c r="H36" s="17">
        <f t="shared" si="3"/>
        <v>0.29411764705882354</v>
      </c>
      <c r="I36" s="3" t="str">
        <f t="shared" si="4"/>
        <v>RENDAH</v>
      </c>
    </row>
    <row r="37" spans="1:9" x14ac:dyDescent="0.25">
      <c r="A37" s="3">
        <v>33</v>
      </c>
      <c r="B37" s="3" t="s">
        <v>37</v>
      </c>
      <c r="C37" s="16">
        <v>50</v>
      </c>
      <c r="D37" s="3">
        <v>60</v>
      </c>
      <c r="E37" s="3" t="str">
        <f t="shared" si="2"/>
        <v>TIDAK TUNTAS</v>
      </c>
      <c r="F37" s="3">
        <f t="shared" si="0"/>
        <v>10</v>
      </c>
      <c r="G37" s="3">
        <f t="shared" si="1"/>
        <v>50</v>
      </c>
      <c r="H37" s="17">
        <f t="shared" si="3"/>
        <v>0.29411764705882354</v>
      </c>
      <c r="I37" s="3" t="str">
        <f t="shared" si="4"/>
        <v>RENDAH</v>
      </c>
    </row>
    <row r="38" spans="1:9" x14ac:dyDescent="0.25">
      <c r="A38" s="3">
        <v>34</v>
      </c>
      <c r="B38" s="3" t="s">
        <v>38</v>
      </c>
      <c r="C38" s="16">
        <v>43</v>
      </c>
      <c r="D38" s="3">
        <v>54</v>
      </c>
      <c r="E38" s="3" t="str">
        <f t="shared" si="2"/>
        <v>TIDAK TUNTAS</v>
      </c>
      <c r="F38" s="3">
        <f t="shared" si="0"/>
        <v>11</v>
      </c>
      <c r="G38" s="3">
        <f t="shared" si="1"/>
        <v>57</v>
      </c>
      <c r="H38" s="17">
        <f t="shared" si="3"/>
        <v>0.3235294117647059</v>
      </c>
      <c r="I38" s="3" t="str">
        <f t="shared" si="4"/>
        <v>SEDANG</v>
      </c>
    </row>
    <row r="39" spans="1:9" x14ac:dyDescent="0.25">
      <c r="B39" s="14" t="s">
        <v>44</v>
      </c>
      <c r="C39" s="15">
        <f>SUM(C5:C38)</f>
        <v>1799</v>
      </c>
      <c r="D39" s="15">
        <f>SUM(D5:D38)</f>
        <v>2172</v>
      </c>
    </row>
    <row r="40" spans="1:9" x14ac:dyDescent="0.25">
      <c r="B40" s="4" t="s">
        <v>45</v>
      </c>
      <c r="C40" s="6">
        <f>_xlfn.STDEV.S(C5:C38)</f>
        <v>6.2443557401565277</v>
      </c>
      <c r="D40" s="6">
        <f>_xlfn.STDEV.S(D5:D38)</f>
        <v>8.5449425264742676</v>
      </c>
    </row>
    <row r="41" spans="1:9" x14ac:dyDescent="0.25">
      <c r="E41" s="4" t="s">
        <v>46</v>
      </c>
      <c r="F41" s="31">
        <v>5</v>
      </c>
      <c r="G41" s="31"/>
    </row>
    <row r="42" spans="1:9" x14ac:dyDescent="0.25">
      <c r="E42" s="4" t="s">
        <v>47</v>
      </c>
      <c r="F42" s="31">
        <v>34</v>
      </c>
      <c r="G42" s="31"/>
    </row>
    <row r="43" spans="1:9" x14ac:dyDescent="0.25">
      <c r="E43" s="4" t="s">
        <v>48</v>
      </c>
      <c r="F43" s="29">
        <f>F41/F42*100%</f>
        <v>0.14705882352941177</v>
      </c>
      <c r="G43" s="30"/>
    </row>
    <row r="46" spans="1:9" ht="28.5" x14ac:dyDescent="0.25">
      <c r="B46" s="7" t="s">
        <v>49</v>
      </c>
      <c r="C46" s="7" t="s">
        <v>50</v>
      </c>
      <c r="D46" s="7" t="s">
        <v>51</v>
      </c>
      <c r="E46" s="7" t="s">
        <v>52</v>
      </c>
    </row>
    <row r="47" spans="1:9" x14ac:dyDescent="0.25">
      <c r="B47" s="8" t="s">
        <v>53</v>
      </c>
      <c r="C47" s="8" t="s">
        <v>66</v>
      </c>
      <c r="D47" s="8">
        <v>0</v>
      </c>
      <c r="E47" s="10">
        <f>D47/34*100%</f>
        <v>0</v>
      </c>
    </row>
    <row r="48" spans="1:9" x14ac:dyDescent="0.25">
      <c r="B48" s="8" t="s">
        <v>54</v>
      </c>
      <c r="C48" s="8" t="s">
        <v>67</v>
      </c>
      <c r="D48" s="8">
        <v>7</v>
      </c>
      <c r="E48" s="10">
        <f>D48/34*100%</f>
        <v>0.20588235294117646</v>
      </c>
    </row>
    <row r="49" spans="2:6" x14ac:dyDescent="0.25">
      <c r="B49" s="8" t="s">
        <v>55</v>
      </c>
      <c r="C49" s="8" t="s">
        <v>68</v>
      </c>
      <c r="D49" s="8">
        <v>20</v>
      </c>
      <c r="E49" s="10">
        <f>D49/34*100%</f>
        <v>0.58823529411764708</v>
      </c>
    </row>
    <row r="50" spans="2:6" x14ac:dyDescent="0.25">
      <c r="B50" s="8" t="s">
        <v>56</v>
      </c>
      <c r="C50" s="8" t="s">
        <v>69</v>
      </c>
      <c r="D50" s="8">
        <v>7</v>
      </c>
      <c r="E50" s="9">
        <f>D50/34*100%</f>
        <v>0.20588235294117646</v>
      </c>
    </row>
    <row r="51" spans="2:6" x14ac:dyDescent="0.25">
      <c r="B51" s="18"/>
      <c r="C51" s="7" t="s">
        <v>65</v>
      </c>
      <c r="D51" s="7">
        <f>SUM(D47:D50)</f>
        <v>34</v>
      </c>
      <c r="E51" s="19">
        <f>SUM(E47:E50)</f>
        <v>1</v>
      </c>
    </row>
    <row r="54" spans="2:6" ht="28.5" x14ac:dyDescent="0.25">
      <c r="B54" s="11" t="s">
        <v>57</v>
      </c>
      <c r="C54" s="11" t="s">
        <v>58</v>
      </c>
      <c r="D54" s="11" t="s">
        <v>51</v>
      </c>
      <c r="E54" s="11" t="s">
        <v>52</v>
      </c>
    </row>
    <row r="55" spans="2:6" x14ac:dyDescent="0.25">
      <c r="B55" s="11" t="s">
        <v>59</v>
      </c>
      <c r="C55" s="11" t="s">
        <v>60</v>
      </c>
      <c r="D55" s="11">
        <v>1</v>
      </c>
      <c r="E55" s="12">
        <f>D55/34*100%</f>
        <v>2.9411764705882353E-2</v>
      </c>
    </row>
    <row r="56" spans="2:6" x14ac:dyDescent="0.25">
      <c r="B56" s="11" t="s">
        <v>61</v>
      </c>
      <c r="C56" s="11" t="s">
        <v>62</v>
      </c>
      <c r="D56" s="11">
        <v>11</v>
      </c>
      <c r="E56" s="12">
        <f>D56/34*100%</f>
        <v>0.3235294117647059</v>
      </c>
    </row>
    <row r="57" spans="2:6" x14ac:dyDescent="0.25">
      <c r="B57" s="11" t="s">
        <v>63</v>
      </c>
      <c r="C57" s="11" t="s">
        <v>64</v>
      </c>
      <c r="D57" s="11">
        <v>22</v>
      </c>
      <c r="E57" s="12">
        <f>D57/34*100%</f>
        <v>0.6470588235294118</v>
      </c>
    </row>
    <row r="58" spans="2:6" x14ac:dyDescent="0.25">
      <c r="C58" s="5" t="s">
        <v>65</v>
      </c>
      <c r="D58" s="5">
        <f>SUM(D55:D57)</f>
        <v>34</v>
      </c>
      <c r="E58" s="13">
        <f>SUM(E55:E57)</f>
        <v>1</v>
      </c>
    </row>
    <row r="61" spans="2:6" x14ac:dyDescent="0.25">
      <c r="B61" s="34" t="s">
        <v>74</v>
      </c>
      <c r="C61" s="34" t="s">
        <v>79</v>
      </c>
      <c r="D61" s="34" t="s">
        <v>80</v>
      </c>
      <c r="E61" s="34" t="s">
        <v>75</v>
      </c>
      <c r="F61" s="34" t="s">
        <v>76</v>
      </c>
    </row>
    <row r="62" spans="2:6" x14ac:dyDescent="0.25">
      <c r="B62" s="35"/>
      <c r="C62" s="35"/>
      <c r="D62" s="35"/>
      <c r="E62" s="35"/>
      <c r="F62" s="35"/>
    </row>
    <row r="63" spans="2:6" x14ac:dyDescent="0.25">
      <c r="B63" s="20" t="s">
        <v>77</v>
      </c>
      <c r="C63" s="21">
        <v>0</v>
      </c>
      <c r="D63" s="21">
        <v>5</v>
      </c>
      <c r="E63" s="22">
        <f>C63/34</f>
        <v>0</v>
      </c>
      <c r="F63" s="22">
        <f>D63/34</f>
        <v>0.14705882352941177</v>
      </c>
    </row>
    <row r="64" spans="2:6" x14ac:dyDescent="0.25">
      <c r="B64" s="20" t="s">
        <v>78</v>
      </c>
      <c r="C64" s="21">
        <v>34</v>
      </c>
      <c r="D64" s="21">
        <v>29</v>
      </c>
      <c r="E64" s="22">
        <f>C64/34</f>
        <v>1</v>
      </c>
      <c r="F64" s="22">
        <f>D64/34</f>
        <v>0.8529411764705882</v>
      </c>
    </row>
    <row r="68" spans="2:6" x14ac:dyDescent="0.25">
      <c r="B68" s="26"/>
      <c r="C68" s="3" t="s">
        <v>81</v>
      </c>
      <c r="D68" s="3" t="s">
        <v>82</v>
      </c>
      <c r="E68" s="3" t="s">
        <v>83</v>
      </c>
      <c r="F68" s="25"/>
    </row>
    <row r="69" spans="2:6" x14ac:dyDescent="0.25">
      <c r="B69" s="26" t="s">
        <v>3</v>
      </c>
      <c r="C69" s="3">
        <f>MAX(C5:C38)</f>
        <v>64</v>
      </c>
      <c r="D69" s="3">
        <f>MIN(C5:C38)</f>
        <v>40</v>
      </c>
      <c r="E69" s="27">
        <f>AVERAGE(C5:C38)</f>
        <v>52.911764705882355</v>
      </c>
      <c r="F69" s="25"/>
    </row>
    <row r="70" spans="2:6" x14ac:dyDescent="0.25">
      <c r="B70" s="26" t="s">
        <v>4</v>
      </c>
      <c r="C70" s="3">
        <f>MAX(D5:D38)</f>
        <v>82</v>
      </c>
      <c r="D70" s="3">
        <f>MIN(D5:D38)</f>
        <v>52</v>
      </c>
      <c r="E70" s="27">
        <f>AVERAGE(D5:D38)</f>
        <v>63.882352941176471</v>
      </c>
      <c r="F70" s="25"/>
    </row>
  </sheetData>
  <mergeCells count="16">
    <mergeCell ref="B61:B62"/>
    <mergeCell ref="C61:C62"/>
    <mergeCell ref="D61:D62"/>
    <mergeCell ref="E61:E62"/>
    <mergeCell ref="F61:F62"/>
    <mergeCell ref="F43:G43"/>
    <mergeCell ref="F41:G41"/>
    <mergeCell ref="F42:G42"/>
    <mergeCell ref="I3:I4"/>
    <mergeCell ref="A1:I1"/>
    <mergeCell ref="A3:A4"/>
    <mergeCell ref="B3:B4"/>
    <mergeCell ref="C3:E3"/>
    <mergeCell ref="F3:F4"/>
    <mergeCell ref="G3:G4"/>
    <mergeCell ref="H3:H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30B6A-19A4-4796-9936-5CDBE30D055C}">
  <dimension ref="A1:K71"/>
  <sheetViews>
    <sheetView topLeftCell="A38" workbookViewId="0">
      <selection activeCell="E41" sqref="E41:G43"/>
    </sheetView>
  </sheetViews>
  <sheetFormatPr defaultRowHeight="15" x14ac:dyDescent="0.25"/>
  <cols>
    <col min="1" max="1" width="12.140625" customWidth="1"/>
    <col min="2" max="2" width="18.28515625" customWidth="1"/>
    <col min="3" max="3" width="13.7109375" customWidth="1"/>
    <col min="4" max="4" width="14.5703125" customWidth="1"/>
    <col min="5" max="5" width="30.140625" customWidth="1"/>
    <col min="6" max="6" width="13.42578125" customWidth="1"/>
    <col min="7" max="7" width="15.42578125" customWidth="1"/>
    <col min="8" max="8" width="12.85546875" customWidth="1"/>
    <col min="9" max="9" width="15.28515625" customWidth="1"/>
  </cols>
  <sheetData>
    <row r="1" spans="1:11" x14ac:dyDescent="0.25">
      <c r="A1" s="33" t="s">
        <v>72</v>
      </c>
      <c r="B1" s="33"/>
      <c r="C1" s="33"/>
      <c r="D1" s="33"/>
      <c r="E1" s="33"/>
      <c r="F1" s="33"/>
      <c r="G1" s="33"/>
      <c r="H1" s="33"/>
      <c r="I1" s="33"/>
    </row>
    <row r="2" spans="1:11" x14ac:dyDescent="0.25">
      <c r="A2" s="1"/>
      <c r="B2" s="1"/>
      <c r="C2" s="1"/>
      <c r="D2" s="1"/>
      <c r="E2" s="1"/>
      <c r="F2" s="2"/>
      <c r="G2" s="2"/>
      <c r="H2" s="2"/>
      <c r="I2" s="2"/>
    </row>
    <row r="3" spans="1:11" x14ac:dyDescent="0.25">
      <c r="A3" s="32" t="s">
        <v>0</v>
      </c>
      <c r="B3" s="32" t="s">
        <v>1</v>
      </c>
      <c r="C3" s="31" t="s">
        <v>2</v>
      </c>
      <c r="D3" s="31"/>
      <c r="E3" s="31"/>
      <c r="F3" s="32" t="s">
        <v>39</v>
      </c>
      <c r="G3" s="32" t="s">
        <v>40</v>
      </c>
      <c r="H3" s="32" t="s">
        <v>41</v>
      </c>
      <c r="I3" s="32" t="s">
        <v>42</v>
      </c>
    </row>
    <row r="4" spans="1:11" x14ac:dyDescent="0.25">
      <c r="A4" s="32"/>
      <c r="B4" s="32"/>
      <c r="C4" s="5" t="s">
        <v>3</v>
      </c>
      <c r="D4" s="5" t="s">
        <v>4</v>
      </c>
      <c r="E4" s="5" t="s">
        <v>43</v>
      </c>
      <c r="F4" s="32"/>
      <c r="G4" s="32"/>
      <c r="H4" s="32"/>
      <c r="I4" s="32"/>
    </row>
    <row r="5" spans="1:11" x14ac:dyDescent="0.25">
      <c r="A5" s="3">
        <v>1</v>
      </c>
      <c r="B5" s="3" t="s">
        <v>5</v>
      </c>
      <c r="C5" s="16">
        <v>56</v>
      </c>
      <c r="D5" s="3">
        <v>80</v>
      </c>
      <c r="E5" s="3" t="str">
        <f>IF(D5&lt;80,"TIDAK TUNTAS","TUNTAS")</f>
        <v>TUNTAS</v>
      </c>
      <c r="F5" s="3">
        <f t="shared" ref="F5:F38" si="0">D5-C5</f>
        <v>24</v>
      </c>
      <c r="G5" s="3">
        <f t="shared" ref="G5:G38" si="1">100-C5</f>
        <v>44</v>
      </c>
      <c r="H5" s="17">
        <f>F5/34</f>
        <v>0.70588235294117652</v>
      </c>
      <c r="I5" s="3" t="str">
        <f>IF(H5&gt;0.7,"TINGGI",IF(H5&gt;0.3,"SEDANG","RENDAH"))</f>
        <v>TINGGI</v>
      </c>
      <c r="K5" s="24"/>
    </row>
    <row r="6" spans="1:11" x14ac:dyDescent="0.25">
      <c r="A6" s="3">
        <v>2</v>
      </c>
      <c r="B6" s="3" t="s">
        <v>6</v>
      </c>
      <c r="C6" s="16">
        <v>56</v>
      </c>
      <c r="D6" s="3">
        <v>68</v>
      </c>
      <c r="E6" s="3" t="str">
        <f t="shared" ref="E6:E38" si="2">IF(D6&lt;80,"TIDAK TUNTAS","TUNTAS")</f>
        <v>TIDAK TUNTAS</v>
      </c>
      <c r="F6" s="3">
        <f t="shared" si="0"/>
        <v>12</v>
      </c>
      <c r="G6" s="3">
        <f t="shared" si="1"/>
        <v>44</v>
      </c>
      <c r="H6" s="17">
        <f t="shared" ref="H6:H38" si="3">F6/34</f>
        <v>0.35294117647058826</v>
      </c>
      <c r="I6" s="3" t="str">
        <f t="shared" ref="I6:I38" si="4">IF(H6&gt;0.7,"TINGGI",IF(H6&gt;0.3,"SEDANG","RENDAH"))</f>
        <v>SEDANG</v>
      </c>
    </row>
    <row r="7" spans="1:11" x14ac:dyDescent="0.25">
      <c r="A7" s="3">
        <v>3</v>
      </c>
      <c r="B7" s="3" t="s">
        <v>7</v>
      </c>
      <c r="C7" s="16">
        <v>63</v>
      </c>
      <c r="D7" s="3">
        <v>74</v>
      </c>
      <c r="E7" s="3" t="str">
        <f t="shared" si="2"/>
        <v>TIDAK TUNTAS</v>
      </c>
      <c r="F7" s="3">
        <f t="shared" si="0"/>
        <v>11</v>
      </c>
      <c r="G7" s="3">
        <f t="shared" si="1"/>
        <v>37</v>
      </c>
      <c r="H7" s="17">
        <f t="shared" si="3"/>
        <v>0.3235294117647059</v>
      </c>
      <c r="I7" s="3" t="str">
        <f t="shared" si="4"/>
        <v>SEDANG</v>
      </c>
    </row>
    <row r="8" spans="1:11" x14ac:dyDescent="0.25">
      <c r="A8" s="3">
        <v>4</v>
      </c>
      <c r="B8" s="3" t="s">
        <v>8</v>
      </c>
      <c r="C8" s="16">
        <v>80</v>
      </c>
      <c r="D8" s="3">
        <v>88</v>
      </c>
      <c r="E8" s="3" t="str">
        <f t="shared" si="2"/>
        <v>TUNTAS</v>
      </c>
      <c r="F8" s="3">
        <f t="shared" si="0"/>
        <v>8</v>
      </c>
      <c r="G8" s="3">
        <f t="shared" si="1"/>
        <v>20</v>
      </c>
      <c r="H8" s="17">
        <f t="shared" si="3"/>
        <v>0.23529411764705882</v>
      </c>
      <c r="I8" s="3" t="str">
        <f t="shared" si="4"/>
        <v>RENDAH</v>
      </c>
    </row>
    <row r="9" spans="1:11" x14ac:dyDescent="0.25">
      <c r="A9" s="3">
        <v>5</v>
      </c>
      <c r="B9" s="3" t="s">
        <v>9</v>
      </c>
      <c r="C9" s="16">
        <v>64</v>
      </c>
      <c r="D9" s="3">
        <v>80</v>
      </c>
      <c r="E9" s="3" t="str">
        <f t="shared" si="2"/>
        <v>TUNTAS</v>
      </c>
      <c r="F9" s="3">
        <f t="shared" si="0"/>
        <v>16</v>
      </c>
      <c r="G9" s="3">
        <f t="shared" si="1"/>
        <v>36</v>
      </c>
      <c r="H9" s="17">
        <f t="shared" si="3"/>
        <v>0.47058823529411764</v>
      </c>
      <c r="I9" s="3" t="str">
        <f t="shared" si="4"/>
        <v>SEDANG</v>
      </c>
    </row>
    <row r="10" spans="1:11" x14ac:dyDescent="0.25">
      <c r="A10" s="3">
        <v>6</v>
      </c>
      <c r="B10" s="3" t="s">
        <v>10</v>
      </c>
      <c r="C10" s="16">
        <v>61</v>
      </c>
      <c r="D10" s="3">
        <v>72</v>
      </c>
      <c r="E10" s="3" t="str">
        <f t="shared" si="2"/>
        <v>TIDAK TUNTAS</v>
      </c>
      <c r="F10" s="3">
        <f t="shared" si="0"/>
        <v>11</v>
      </c>
      <c r="G10" s="3">
        <f t="shared" si="1"/>
        <v>39</v>
      </c>
      <c r="H10" s="17">
        <f t="shared" si="3"/>
        <v>0.3235294117647059</v>
      </c>
      <c r="I10" s="3" t="str">
        <f t="shared" si="4"/>
        <v>SEDANG</v>
      </c>
    </row>
    <row r="11" spans="1:11" x14ac:dyDescent="0.25">
      <c r="A11" s="3">
        <v>7</v>
      </c>
      <c r="B11" s="3" t="s">
        <v>11</v>
      </c>
      <c r="C11" s="16">
        <v>54</v>
      </c>
      <c r="D11" s="3">
        <v>66</v>
      </c>
      <c r="E11" s="3" t="str">
        <f t="shared" si="2"/>
        <v>TIDAK TUNTAS</v>
      </c>
      <c r="F11" s="3">
        <f t="shared" si="0"/>
        <v>12</v>
      </c>
      <c r="G11" s="3">
        <f t="shared" si="1"/>
        <v>46</v>
      </c>
      <c r="H11" s="17">
        <f t="shared" si="3"/>
        <v>0.35294117647058826</v>
      </c>
      <c r="I11" s="3" t="str">
        <f t="shared" si="4"/>
        <v>SEDANG</v>
      </c>
    </row>
    <row r="12" spans="1:11" x14ac:dyDescent="0.25">
      <c r="A12" s="3">
        <v>8</v>
      </c>
      <c r="B12" s="3" t="s">
        <v>12</v>
      </c>
      <c r="C12" s="16">
        <v>65</v>
      </c>
      <c r="D12" s="3">
        <v>77</v>
      </c>
      <c r="E12" s="3" t="str">
        <f t="shared" si="2"/>
        <v>TIDAK TUNTAS</v>
      </c>
      <c r="F12" s="3">
        <f t="shared" si="0"/>
        <v>12</v>
      </c>
      <c r="G12" s="3">
        <f t="shared" si="1"/>
        <v>35</v>
      </c>
      <c r="H12" s="17">
        <f t="shared" si="3"/>
        <v>0.35294117647058826</v>
      </c>
      <c r="I12" s="3" t="str">
        <f t="shared" si="4"/>
        <v>SEDANG</v>
      </c>
    </row>
    <row r="13" spans="1:11" x14ac:dyDescent="0.25">
      <c r="A13" s="3">
        <v>9</v>
      </c>
      <c r="B13" s="3" t="s">
        <v>13</v>
      </c>
      <c r="C13" s="16">
        <v>65</v>
      </c>
      <c r="D13" s="3">
        <v>80</v>
      </c>
      <c r="E13" s="3" t="str">
        <f t="shared" si="2"/>
        <v>TUNTAS</v>
      </c>
      <c r="F13" s="3">
        <f t="shared" si="0"/>
        <v>15</v>
      </c>
      <c r="G13" s="3">
        <f t="shared" si="1"/>
        <v>35</v>
      </c>
      <c r="H13" s="17">
        <f t="shared" si="3"/>
        <v>0.44117647058823528</v>
      </c>
      <c r="I13" s="3" t="str">
        <f t="shared" si="4"/>
        <v>SEDANG</v>
      </c>
    </row>
    <row r="14" spans="1:11" x14ac:dyDescent="0.25">
      <c r="A14" s="3">
        <v>10</v>
      </c>
      <c r="B14" s="3" t="s">
        <v>14</v>
      </c>
      <c r="C14" s="16">
        <v>63</v>
      </c>
      <c r="D14" s="3">
        <v>75</v>
      </c>
      <c r="E14" s="3" t="str">
        <f t="shared" si="2"/>
        <v>TIDAK TUNTAS</v>
      </c>
      <c r="F14" s="3">
        <f t="shared" si="0"/>
        <v>12</v>
      </c>
      <c r="G14" s="3">
        <f t="shared" si="1"/>
        <v>37</v>
      </c>
      <c r="H14" s="17">
        <f t="shared" si="3"/>
        <v>0.35294117647058826</v>
      </c>
      <c r="I14" s="3" t="str">
        <f t="shared" si="4"/>
        <v>SEDANG</v>
      </c>
    </row>
    <row r="15" spans="1:11" x14ac:dyDescent="0.25">
      <c r="A15" s="3">
        <v>11</v>
      </c>
      <c r="B15" s="3" t="s">
        <v>15</v>
      </c>
      <c r="C15" s="16">
        <v>65</v>
      </c>
      <c r="D15" s="3">
        <v>80</v>
      </c>
      <c r="E15" s="3" t="str">
        <f t="shared" si="2"/>
        <v>TUNTAS</v>
      </c>
      <c r="F15" s="3">
        <f t="shared" si="0"/>
        <v>15</v>
      </c>
      <c r="G15" s="3">
        <f t="shared" si="1"/>
        <v>35</v>
      </c>
      <c r="H15" s="17">
        <f t="shared" si="3"/>
        <v>0.44117647058823528</v>
      </c>
      <c r="I15" s="3" t="str">
        <f t="shared" si="4"/>
        <v>SEDANG</v>
      </c>
    </row>
    <row r="16" spans="1:11" x14ac:dyDescent="0.25">
      <c r="A16" s="3">
        <v>12</v>
      </c>
      <c r="B16" s="3" t="s">
        <v>16</v>
      </c>
      <c r="C16" s="16">
        <v>53</v>
      </c>
      <c r="D16" s="3">
        <v>64</v>
      </c>
      <c r="E16" s="3" t="str">
        <f t="shared" si="2"/>
        <v>TIDAK TUNTAS</v>
      </c>
      <c r="F16" s="3">
        <f t="shared" si="0"/>
        <v>11</v>
      </c>
      <c r="G16" s="3">
        <f t="shared" si="1"/>
        <v>47</v>
      </c>
      <c r="H16" s="17">
        <f t="shared" si="3"/>
        <v>0.3235294117647059</v>
      </c>
      <c r="I16" s="3" t="str">
        <f t="shared" si="4"/>
        <v>SEDANG</v>
      </c>
    </row>
    <row r="17" spans="1:9" x14ac:dyDescent="0.25">
      <c r="A17" s="3">
        <v>13</v>
      </c>
      <c r="B17" s="3" t="s">
        <v>17</v>
      </c>
      <c r="C17" s="16">
        <v>61</v>
      </c>
      <c r="D17" s="3">
        <v>73</v>
      </c>
      <c r="E17" s="3" t="str">
        <f t="shared" si="2"/>
        <v>TIDAK TUNTAS</v>
      </c>
      <c r="F17" s="3">
        <f t="shared" si="0"/>
        <v>12</v>
      </c>
      <c r="G17" s="3">
        <f t="shared" si="1"/>
        <v>39</v>
      </c>
      <c r="H17" s="17">
        <f t="shared" si="3"/>
        <v>0.35294117647058826</v>
      </c>
      <c r="I17" s="3" t="str">
        <f t="shared" si="4"/>
        <v>SEDANG</v>
      </c>
    </row>
    <row r="18" spans="1:9" x14ac:dyDescent="0.25">
      <c r="A18" s="3">
        <v>14</v>
      </c>
      <c r="B18" s="3" t="s">
        <v>18</v>
      </c>
      <c r="C18" s="16">
        <v>60</v>
      </c>
      <c r="D18" s="3">
        <v>69</v>
      </c>
      <c r="E18" s="3" t="str">
        <f t="shared" si="2"/>
        <v>TIDAK TUNTAS</v>
      </c>
      <c r="F18" s="3">
        <f t="shared" si="0"/>
        <v>9</v>
      </c>
      <c r="G18" s="3">
        <f t="shared" si="1"/>
        <v>40</v>
      </c>
      <c r="H18" s="17">
        <f t="shared" si="3"/>
        <v>0.26470588235294118</v>
      </c>
      <c r="I18" s="3" t="str">
        <f t="shared" si="4"/>
        <v>RENDAH</v>
      </c>
    </row>
    <row r="19" spans="1:9" x14ac:dyDescent="0.25">
      <c r="A19" s="3">
        <v>15</v>
      </c>
      <c r="B19" s="3" t="s">
        <v>19</v>
      </c>
      <c r="C19" s="16">
        <v>66</v>
      </c>
      <c r="D19" s="3">
        <v>80</v>
      </c>
      <c r="E19" s="3" t="str">
        <f t="shared" si="2"/>
        <v>TUNTAS</v>
      </c>
      <c r="F19" s="3">
        <f t="shared" si="0"/>
        <v>14</v>
      </c>
      <c r="G19" s="3">
        <f t="shared" si="1"/>
        <v>34</v>
      </c>
      <c r="H19" s="17">
        <f t="shared" si="3"/>
        <v>0.41176470588235292</v>
      </c>
      <c r="I19" s="3" t="str">
        <f t="shared" si="4"/>
        <v>SEDANG</v>
      </c>
    </row>
    <row r="20" spans="1:9" x14ac:dyDescent="0.25">
      <c r="A20" s="3">
        <v>16</v>
      </c>
      <c r="B20" s="3" t="s">
        <v>20</v>
      </c>
      <c r="C20" s="16">
        <v>81</v>
      </c>
      <c r="D20" s="3">
        <v>85</v>
      </c>
      <c r="E20" s="3" t="str">
        <f t="shared" si="2"/>
        <v>TUNTAS</v>
      </c>
      <c r="F20" s="3">
        <f t="shared" si="0"/>
        <v>4</v>
      </c>
      <c r="G20" s="3">
        <f t="shared" si="1"/>
        <v>19</v>
      </c>
      <c r="H20" s="17">
        <f t="shared" si="3"/>
        <v>0.11764705882352941</v>
      </c>
      <c r="I20" s="3" t="str">
        <f t="shared" si="4"/>
        <v>RENDAH</v>
      </c>
    </row>
    <row r="21" spans="1:9" x14ac:dyDescent="0.25">
      <c r="A21" s="3">
        <v>17</v>
      </c>
      <c r="B21" s="3" t="s">
        <v>21</v>
      </c>
      <c r="C21" s="16">
        <v>68</v>
      </c>
      <c r="D21" s="3">
        <v>80</v>
      </c>
      <c r="E21" s="3" t="str">
        <f t="shared" si="2"/>
        <v>TUNTAS</v>
      </c>
      <c r="F21" s="3">
        <f t="shared" si="0"/>
        <v>12</v>
      </c>
      <c r="G21" s="3">
        <f t="shared" si="1"/>
        <v>32</v>
      </c>
      <c r="H21" s="17">
        <f t="shared" si="3"/>
        <v>0.35294117647058826</v>
      </c>
      <c r="I21" s="3" t="str">
        <f t="shared" si="4"/>
        <v>SEDANG</v>
      </c>
    </row>
    <row r="22" spans="1:9" x14ac:dyDescent="0.25">
      <c r="A22" s="3">
        <v>18</v>
      </c>
      <c r="B22" s="3" t="s">
        <v>22</v>
      </c>
      <c r="C22" s="16">
        <v>52</v>
      </c>
      <c r="D22" s="3">
        <v>64</v>
      </c>
      <c r="E22" s="3" t="str">
        <f t="shared" si="2"/>
        <v>TIDAK TUNTAS</v>
      </c>
      <c r="F22" s="3">
        <f t="shared" si="0"/>
        <v>12</v>
      </c>
      <c r="G22" s="3">
        <f t="shared" si="1"/>
        <v>48</v>
      </c>
      <c r="H22" s="17">
        <f t="shared" si="3"/>
        <v>0.35294117647058826</v>
      </c>
      <c r="I22" s="3" t="str">
        <f t="shared" si="4"/>
        <v>SEDANG</v>
      </c>
    </row>
    <row r="23" spans="1:9" x14ac:dyDescent="0.25">
      <c r="A23" s="3">
        <v>19</v>
      </c>
      <c r="B23" s="3" t="s">
        <v>23</v>
      </c>
      <c r="C23" s="16">
        <v>80</v>
      </c>
      <c r="D23" s="3">
        <v>86</v>
      </c>
      <c r="E23" s="3" t="str">
        <f t="shared" si="2"/>
        <v>TUNTAS</v>
      </c>
      <c r="F23" s="3">
        <f t="shared" si="0"/>
        <v>6</v>
      </c>
      <c r="G23" s="3">
        <f t="shared" si="1"/>
        <v>20</v>
      </c>
      <c r="H23" s="17">
        <f t="shared" si="3"/>
        <v>0.17647058823529413</v>
      </c>
      <c r="I23" s="3" t="str">
        <f t="shared" si="4"/>
        <v>RENDAH</v>
      </c>
    </row>
    <row r="24" spans="1:9" x14ac:dyDescent="0.25">
      <c r="A24" s="3">
        <v>20</v>
      </c>
      <c r="B24" s="3" t="s">
        <v>24</v>
      </c>
      <c r="C24" s="16">
        <v>63</v>
      </c>
      <c r="D24" s="3">
        <v>74</v>
      </c>
      <c r="E24" s="3" t="str">
        <f t="shared" si="2"/>
        <v>TIDAK TUNTAS</v>
      </c>
      <c r="F24" s="3">
        <f t="shared" si="0"/>
        <v>11</v>
      </c>
      <c r="G24" s="3">
        <f t="shared" si="1"/>
        <v>37</v>
      </c>
      <c r="H24" s="17">
        <f t="shared" si="3"/>
        <v>0.3235294117647059</v>
      </c>
      <c r="I24" s="3" t="str">
        <f t="shared" si="4"/>
        <v>SEDANG</v>
      </c>
    </row>
    <row r="25" spans="1:9" x14ac:dyDescent="0.25">
      <c r="A25" s="3">
        <v>21</v>
      </c>
      <c r="B25" s="3" t="s">
        <v>25</v>
      </c>
      <c r="C25" s="16">
        <v>55</v>
      </c>
      <c r="D25" s="3">
        <v>68</v>
      </c>
      <c r="E25" s="3" t="str">
        <f t="shared" si="2"/>
        <v>TIDAK TUNTAS</v>
      </c>
      <c r="F25" s="3">
        <f t="shared" si="0"/>
        <v>13</v>
      </c>
      <c r="G25" s="3">
        <f t="shared" si="1"/>
        <v>45</v>
      </c>
      <c r="H25" s="17">
        <f t="shared" si="3"/>
        <v>0.38235294117647056</v>
      </c>
      <c r="I25" s="3" t="str">
        <f t="shared" si="4"/>
        <v>SEDANG</v>
      </c>
    </row>
    <row r="26" spans="1:9" x14ac:dyDescent="0.25">
      <c r="A26" s="3">
        <v>22</v>
      </c>
      <c r="B26" s="3" t="s">
        <v>26</v>
      </c>
      <c r="C26" s="16">
        <v>61</v>
      </c>
      <c r="D26" s="3">
        <v>69</v>
      </c>
      <c r="E26" s="3" t="str">
        <f t="shared" si="2"/>
        <v>TIDAK TUNTAS</v>
      </c>
      <c r="F26" s="3">
        <f t="shared" si="0"/>
        <v>8</v>
      </c>
      <c r="G26" s="3">
        <f t="shared" si="1"/>
        <v>39</v>
      </c>
      <c r="H26" s="17">
        <f t="shared" si="3"/>
        <v>0.23529411764705882</v>
      </c>
      <c r="I26" s="3" t="str">
        <f t="shared" si="4"/>
        <v>RENDAH</v>
      </c>
    </row>
    <row r="27" spans="1:9" x14ac:dyDescent="0.25">
      <c r="A27" s="3">
        <v>23</v>
      </c>
      <c r="B27" s="3" t="s">
        <v>27</v>
      </c>
      <c r="C27" s="16">
        <v>67</v>
      </c>
      <c r="D27" s="3">
        <v>75</v>
      </c>
      <c r="E27" s="3" t="str">
        <f t="shared" si="2"/>
        <v>TIDAK TUNTAS</v>
      </c>
      <c r="F27" s="3">
        <f t="shared" si="0"/>
        <v>8</v>
      </c>
      <c r="G27" s="3">
        <f t="shared" si="1"/>
        <v>33</v>
      </c>
      <c r="H27" s="17">
        <f t="shared" si="3"/>
        <v>0.23529411764705882</v>
      </c>
      <c r="I27" s="3" t="str">
        <f t="shared" si="4"/>
        <v>RENDAH</v>
      </c>
    </row>
    <row r="28" spans="1:9" x14ac:dyDescent="0.25">
      <c r="A28" s="3">
        <v>24</v>
      </c>
      <c r="B28" s="3" t="s">
        <v>28</v>
      </c>
      <c r="C28" s="16">
        <v>70</v>
      </c>
      <c r="D28" s="3">
        <v>78</v>
      </c>
      <c r="E28" s="3" t="str">
        <f t="shared" si="2"/>
        <v>TIDAK TUNTAS</v>
      </c>
      <c r="F28" s="3">
        <f t="shared" si="0"/>
        <v>8</v>
      </c>
      <c r="G28" s="3">
        <f t="shared" si="1"/>
        <v>30</v>
      </c>
      <c r="H28" s="17">
        <f t="shared" si="3"/>
        <v>0.23529411764705882</v>
      </c>
      <c r="I28" s="3" t="str">
        <f t="shared" si="4"/>
        <v>RENDAH</v>
      </c>
    </row>
    <row r="29" spans="1:9" x14ac:dyDescent="0.25">
      <c r="A29" s="3">
        <v>25</v>
      </c>
      <c r="B29" s="3" t="s">
        <v>29</v>
      </c>
      <c r="C29" s="16">
        <v>65</v>
      </c>
      <c r="D29" s="3">
        <v>73</v>
      </c>
      <c r="E29" s="3" t="str">
        <f t="shared" si="2"/>
        <v>TIDAK TUNTAS</v>
      </c>
      <c r="F29" s="3">
        <f t="shared" si="0"/>
        <v>8</v>
      </c>
      <c r="G29" s="3">
        <f t="shared" si="1"/>
        <v>35</v>
      </c>
      <c r="H29" s="17">
        <f t="shared" si="3"/>
        <v>0.23529411764705882</v>
      </c>
      <c r="I29" s="3" t="str">
        <f t="shared" si="4"/>
        <v>RENDAH</v>
      </c>
    </row>
    <row r="30" spans="1:9" x14ac:dyDescent="0.25">
      <c r="A30" s="3">
        <v>26</v>
      </c>
      <c r="B30" s="3" t="s">
        <v>30</v>
      </c>
      <c r="C30" s="16">
        <v>82</v>
      </c>
      <c r="D30" s="3">
        <v>86</v>
      </c>
      <c r="E30" s="3" t="str">
        <f t="shared" si="2"/>
        <v>TUNTAS</v>
      </c>
      <c r="F30" s="3">
        <f t="shared" si="0"/>
        <v>4</v>
      </c>
      <c r="G30" s="3">
        <f t="shared" si="1"/>
        <v>18</v>
      </c>
      <c r="H30" s="17">
        <f t="shared" si="3"/>
        <v>0.11764705882352941</v>
      </c>
      <c r="I30" s="3" t="str">
        <f t="shared" si="4"/>
        <v>RENDAH</v>
      </c>
    </row>
    <row r="31" spans="1:9" x14ac:dyDescent="0.25">
      <c r="A31" s="3">
        <v>27</v>
      </c>
      <c r="B31" s="3" t="s">
        <v>31</v>
      </c>
      <c r="C31" s="16">
        <v>65</v>
      </c>
      <c r="D31" s="3">
        <v>80</v>
      </c>
      <c r="E31" s="3" t="str">
        <f t="shared" si="2"/>
        <v>TUNTAS</v>
      </c>
      <c r="F31" s="3">
        <f t="shared" si="0"/>
        <v>15</v>
      </c>
      <c r="G31" s="3">
        <f t="shared" si="1"/>
        <v>35</v>
      </c>
      <c r="H31" s="17">
        <f t="shared" si="3"/>
        <v>0.44117647058823528</v>
      </c>
      <c r="I31" s="3" t="str">
        <f t="shared" si="4"/>
        <v>SEDANG</v>
      </c>
    </row>
    <row r="32" spans="1:9" x14ac:dyDescent="0.25">
      <c r="A32" s="3">
        <v>28</v>
      </c>
      <c r="B32" s="3" t="s">
        <v>32</v>
      </c>
      <c r="C32" s="16">
        <v>70</v>
      </c>
      <c r="D32" s="3">
        <v>94</v>
      </c>
      <c r="E32" s="3" t="str">
        <f t="shared" si="2"/>
        <v>TUNTAS</v>
      </c>
      <c r="F32" s="3">
        <f t="shared" si="0"/>
        <v>24</v>
      </c>
      <c r="G32" s="3">
        <f t="shared" si="1"/>
        <v>30</v>
      </c>
      <c r="H32" s="17">
        <f t="shared" si="3"/>
        <v>0.70588235294117652</v>
      </c>
      <c r="I32" s="3" t="str">
        <f t="shared" si="4"/>
        <v>TINGGI</v>
      </c>
    </row>
    <row r="33" spans="1:9" x14ac:dyDescent="0.25">
      <c r="A33" s="3">
        <v>29</v>
      </c>
      <c r="B33" s="3" t="s">
        <v>33</v>
      </c>
      <c r="C33" s="16">
        <v>65</v>
      </c>
      <c r="D33" s="3">
        <v>80</v>
      </c>
      <c r="E33" s="3" t="str">
        <f t="shared" si="2"/>
        <v>TUNTAS</v>
      </c>
      <c r="F33" s="3">
        <f t="shared" si="0"/>
        <v>15</v>
      </c>
      <c r="G33" s="3">
        <f t="shared" si="1"/>
        <v>35</v>
      </c>
      <c r="H33" s="17">
        <f t="shared" si="3"/>
        <v>0.44117647058823528</v>
      </c>
      <c r="I33" s="3" t="str">
        <f t="shared" si="4"/>
        <v>SEDANG</v>
      </c>
    </row>
    <row r="34" spans="1:9" x14ac:dyDescent="0.25">
      <c r="A34" s="3">
        <v>30</v>
      </c>
      <c r="B34" s="3" t="s">
        <v>34</v>
      </c>
      <c r="C34" s="16">
        <v>54</v>
      </c>
      <c r="D34" s="3">
        <v>67</v>
      </c>
      <c r="E34" s="3" t="str">
        <f t="shared" si="2"/>
        <v>TIDAK TUNTAS</v>
      </c>
      <c r="F34" s="3">
        <f t="shared" si="0"/>
        <v>13</v>
      </c>
      <c r="G34" s="3">
        <f t="shared" si="1"/>
        <v>46</v>
      </c>
      <c r="H34" s="17">
        <f t="shared" si="3"/>
        <v>0.38235294117647056</v>
      </c>
      <c r="I34" s="3" t="str">
        <f t="shared" si="4"/>
        <v>SEDANG</v>
      </c>
    </row>
    <row r="35" spans="1:9" x14ac:dyDescent="0.25">
      <c r="A35" s="3">
        <v>31</v>
      </c>
      <c r="B35" s="3" t="s">
        <v>35</v>
      </c>
      <c r="C35" s="16">
        <v>80</v>
      </c>
      <c r="D35" s="3">
        <v>87</v>
      </c>
      <c r="E35" s="3" t="str">
        <f t="shared" si="2"/>
        <v>TUNTAS</v>
      </c>
      <c r="F35" s="3">
        <f t="shared" si="0"/>
        <v>7</v>
      </c>
      <c r="G35" s="3">
        <f t="shared" si="1"/>
        <v>20</v>
      </c>
      <c r="H35" s="17">
        <f t="shared" si="3"/>
        <v>0.20588235294117646</v>
      </c>
      <c r="I35" s="3" t="str">
        <f t="shared" si="4"/>
        <v>RENDAH</v>
      </c>
    </row>
    <row r="36" spans="1:9" x14ac:dyDescent="0.25">
      <c r="A36" s="3">
        <v>32</v>
      </c>
      <c r="B36" s="3" t="s">
        <v>36</v>
      </c>
      <c r="C36" s="16">
        <v>60</v>
      </c>
      <c r="D36" s="3">
        <v>73</v>
      </c>
      <c r="E36" s="3" t="str">
        <f t="shared" si="2"/>
        <v>TIDAK TUNTAS</v>
      </c>
      <c r="F36" s="3">
        <f t="shared" si="0"/>
        <v>13</v>
      </c>
      <c r="G36" s="3">
        <f t="shared" si="1"/>
        <v>40</v>
      </c>
      <c r="H36" s="17">
        <f t="shared" si="3"/>
        <v>0.38235294117647056</v>
      </c>
      <c r="I36" s="3" t="str">
        <f t="shared" si="4"/>
        <v>SEDANG</v>
      </c>
    </row>
    <row r="37" spans="1:9" x14ac:dyDescent="0.25">
      <c r="A37" s="3">
        <v>33</v>
      </c>
      <c r="B37" s="3" t="s">
        <v>37</v>
      </c>
      <c r="C37" s="16">
        <v>61</v>
      </c>
      <c r="D37" s="3">
        <v>72</v>
      </c>
      <c r="E37" s="3" t="str">
        <f t="shared" si="2"/>
        <v>TIDAK TUNTAS</v>
      </c>
      <c r="F37" s="3">
        <f t="shared" si="0"/>
        <v>11</v>
      </c>
      <c r="G37" s="3">
        <f t="shared" si="1"/>
        <v>39</v>
      </c>
      <c r="H37" s="17">
        <f t="shared" si="3"/>
        <v>0.3235294117647059</v>
      </c>
      <c r="I37" s="3" t="str">
        <f t="shared" si="4"/>
        <v>SEDANG</v>
      </c>
    </row>
    <row r="38" spans="1:9" x14ac:dyDescent="0.25">
      <c r="A38" s="3">
        <v>34</v>
      </c>
      <c r="B38" s="3" t="s">
        <v>38</v>
      </c>
      <c r="C38" s="16">
        <v>55</v>
      </c>
      <c r="D38" s="3">
        <v>79</v>
      </c>
      <c r="E38" s="3" t="str">
        <f t="shared" si="2"/>
        <v>TIDAK TUNTAS</v>
      </c>
      <c r="F38" s="3">
        <f t="shared" si="0"/>
        <v>24</v>
      </c>
      <c r="G38" s="3">
        <f t="shared" si="1"/>
        <v>45</v>
      </c>
      <c r="H38" s="17">
        <f t="shared" si="3"/>
        <v>0.70588235294117652</v>
      </c>
      <c r="I38" s="3" t="str">
        <f t="shared" si="4"/>
        <v>TINGGI</v>
      </c>
    </row>
    <row r="39" spans="1:9" x14ac:dyDescent="0.25">
      <c r="A39" s="2"/>
      <c r="B39" s="14" t="s">
        <v>44</v>
      </c>
      <c r="C39" s="15">
        <f>SUM(C5:C38)</f>
        <v>2186</v>
      </c>
      <c r="D39" s="15">
        <f>SUM(D5:D38)</f>
        <v>2596</v>
      </c>
      <c r="E39" s="2"/>
      <c r="F39" s="2"/>
      <c r="G39" s="2"/>
      <c r="H39" s="2"/>
      <c r="I39" s="2"/>
    </row>
    <row r="40" spans="1:9" x14ac:dyDescent="0.25">
      <c r="A40" s="2"/>
      <c r="B40" s="4" t="s">
        <v>45</v>
      </c>
      <c r="C40" s="6">
        <f>_xlfn.STDEV.S(C5:C38)</f>
        <v>8.3685175247170811</v>
      </c>
      <c r="D40" s="6">
        <f>_xlfn.STDEV.S(D5:D38)</f>
        <v>7.327335093483339</v>
      </c>
      <c r="E40" s="2"/>
      <c r="F40" s="2"/>
      <c r="G40" s="2"/>
      <c r="H40" s="2"/>
      <c r="I40" s="2"/>
    </row>
    <row r="41" spans="1:9" x14ac:dyDescent="0.25">
      <c r="A41" s="2"/>
      <c r="B41" s="2"/>
      <c r="C41" s="2"/>
      <c r="D41" s="2"/>
      <c r="E41" s="4" t="s">
        <v>46</v>
      </c>
      <c r="F41" s="31">
        <v>14</v>
      </c>
      <c r="G41" s="31"/>
      <c r="H41" s="2"/>
      <c r="I41" s="2"/>
    </row>
    <row r="42" spans="1:9" x14ac:dyDescent="0.25">
      <c r="A42" s="2"/>
      <c r="B42" s="2"/>
      <c r="C42" s="2"/>
      <c r="D42" s="2"/>
      <c r="E42" s="4" t="s">
        <v>47</v>
      </c>
      <c r="F42" s="31">
        <v>34</v>
      </c>
      <c r="G42" s="31"/>
      <c r="H42" s="2"/>
      <c r="I42" s="2"/>
    </row>
    <row r="43" spans="1:9" x14ac:dyDescent="0.25">
      <c r="A43" s="2"/>
      <c r="B43" s="2"/>
      <c r="C43" s="2"/>
      <c r="D43" s="2"/>
      <c r="E43" s="4" t="s">
        <v>48</v>
      </c>
      <c r="F43" s="29">
        <f>F41/F42*100%</f>
        <v>0.41176470588235292</v>
      </c>
      <c r="G43" s="30"/>
      <c r="H43" s="28"/>
      <c r="I43" s="2"/>
    </row>
    <row r="44" spans="1:9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9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9" ht="28.5" x14ac:dyDescent="0.25">
      <c r="A46" s="2"/>
      <c r="B46" s="7" t="s">
        <v>49</v>
      </c>
      <c r="C46" s="7" t="s">
        <v>50</v>
      </c>
      <c r="D46" s="7" t="s">
        <v>51</v>
      </c>
      <c r="E46" s="7" t="s">
        <v>52</v>
      </c>
      <c r="F46" s="2"/>
      <c r="G46" s="2"/>
      <c r="H46" s="2"/>
      <c r="I46" s="2"/>
    </row>
    <row r="47" spans="1:9" ht="30" customHeight="1" x14ac:dyDescent="0.25">
      <c r="A47" s="2"/>
      <c r="B47" s="8" t="s">
        <v>53</v>
      </c>
      <c r="C47" s="8" t="s">
        <v>66</v>
      </c>
      <c r="D47" s="8">
        <v>6</v>
      </c>
      <c r="E47" s="10">
        <f>D47/34*100%</f>
        <v>0.17647058823529413</v>
      </c>
      <c r="F47" s="2"/>
      <c r="G47" s="2"/>
      <c r="H47" s="2"/>
      <c r="I47" s="2"/>
    </row>
    <row r="48" spans="1:9" x14ac:dyDescent="0.25">
      <c r="A48" s="2"/>
      <c r="B48" s="8" t="s">
        <v>54</v>
      </c>
      <c r="C48" s="8" t="s">
        <v>67</v>
      </c>
      <c r="D48" s="8">
        <v>20</v>
      </c>
      <c r="E48" s="10">
        <f>D48/34*100%</f>
        <v>0.58823529411764708</v>
      </c>
      <c r="F48" s="2"/>
      <c r="G48" s="2"/>
      <c r="H48" s="2"/>
      <c r="I48" s="2"/>
    </row>
    <row r="49" spans="1:9" x14ac:dyDescent="0.25">
      <c r="A49" s="2"/>
      <c r="B49" s="8" t="s">
        <v>55</v>
      </c>
      <c r="C49" s="8" t="s">
        <v>68</v>
      </c>
      <c r="D49" s="8">
        <v>8</v>
      </c>
      <c r="E49" s="10">
        <f>D49/34*100%</f>
        <v>0.23529411764705882</v>
      </c>
      <c r="F49" s="2"/>
      <c r="G49" s="2"/>
      <c r="H49" s="2"/>
      <c r="I49" s="2"/>
    </row>
    <row r="50" spans="1:9" x14ac:dyDescent="0.25">
      <c r="A50" s="2"/>
      <c r="B50" s="8" t="s">
        <v>56</v>
      </c>
      <c r="C50" s="8" t="s">
        <v>69</v>
      </c>
      <c r="D50" s="8">
        <v>0</v>
      </c>
      <c r="E50" s="9">
        <f>D50/34*100%</f>
        <v>0</v>
      </c>
      <c r="F50" s="2"/>
      <c r="G50" s="2"/>
      <c r="H50" s="2"/>
      <c r="I50" s="2"/>
    </row>
    <row r="51" spans="1:9" ht="17.25" customHeight="1" x14ac:dyDescent="0.25">
      <c r="A51" s="2"/>
      <c r="B51" s="18"/>
      <c r="C51" s="7" t="s">
        <v>70</v>
      </c>
      <c r="D51" s="7">
        <f>SUM(D47:D50)</f>
        <v>34</v>
      </c>
      <c r="E51" s="12">
        <f>SUM(E47:E50)</f>
        <v>1</v>
      </c>
      <c r="F51" s="2"/>
      <c r="G51" s="2"/>
      <c r="H51" s="2"/>
      <c r="I51" s="2"/>
    </row>
    <row r="52" spans="1:9" x14ac:dyDescent="0.25">
      <c r="A52" s="2"/>
      <c r="B52" s="2"/>
      <c r="C52" s="2"/>
      <c r="D52" s="2"/>
      <c r="E52" s="2"/>
      <c r="F52" s="2"/>
      <c r="G52" s="2"/>
      <c r="H52" s="2"/>
      <c r="I52" s="2"/>
    </row>
    <row r="53" spans="1:9" x14ac:dyDescent="0.25">
      <c r="A53" s="2"/>
      <c r="B53" s="2"/>
      <c r="C53" s="2"/>
      <c r="D53" s="2"/>
      <c r="E53" s="2"/>
      <c r="F53" s="2"/>
      <c r="G53" s="2"/>
      <c r="H53" s="2"/>
      <c r="I53" s="2"/>
    </row>
    <row r="54" spans="1:9" ht="57" customHeight="1" x14ac:dyDescent="0.25">
      <c r="A54" s="2"/>
      <c r="B54" s="11" t="s">
        <v>57</v>
      </c>
      <c r="C54" s="11" t="s">
        <v>58</v>
      </c>
      <c r="D54" s="11" t="s">
        <v>51</v>
      </c>
      <c r="E54" s="11" t="s">
        <v>52</v>
      </c>
      <c r="F54" s="2"/>
      <c r="G54" s="2"/>
      <c r="H54" s="2"/>
      <c r="I54" s="2"/>
    </row>
    <row r="55" spans="1:9" x14ac:dyDescent="0.25">
      <c r="A55" s="2"/>
      <c r="B55" s="11" t="s">
        <v>59</v>
      </c>
      <c r="C55" s="11" t="s">
        <v>60</v>
      </c>
      <c r="D55" s="11">
        <v>3</v>
      </c>
      <c r="E55" s="12">
        <f>D55/34*100%</f>
        <v>8.8235294117647065E-2</v>
      </c>
      <c r="F55" s="2"/>
      <c r="G55" s="2"/>
      <c r="H55" s="2"/>
      <c r="I55" s="2"/>
    </row>
    <row r="56" spans="1:9" ht="28.5" customHeight="1" x14ac:dyDescent="0.25">
      <c r="A56" s="2"/>
      <c r="B56" s="11" t="s">
        <v>61</v>
      </c>
      <c r="C56" s="11" t="s">
        <v>62</v>
      </c>
      <c r="D56" s="11">
        <v>20</v>
      </c>
      <c r="E56" s="12">
        <f>D56/34*100%</f>
        <v>0.58823529411764708</v>
      </c>
      <c r="F56" s="2"/>
      <c r="G56" s="2"/>
      <c r="H56" s="2"/>
      <c r="I56" s="2"/>
    </row>
    <row r="57" spans="1:9" x14ac:dyDescent="0.25">
      <c r="A57" s="2"/>
      <c r="B57" s="11" t="s">
        <v>63</v>
      </c>
      <c r="C57" s="11" t="s">
        <v>64</v>
      </c>
      <c r="D57" s="11">
        <v>11</v>
      </c>
      <c r="E57" s="12">
        <f>D57/34*100%</f>
        <v>0.3235294117647059</v>
      </c>
      <c r="F57" s="2"/>
      <c r="G57" s="2"/>
      <c r="H57" s="2"/>
      <c r="I57" s="2"/>
    </row>
    <row r="58" spans="1:9" x14ac:dyDescent="0.25">
      <c r="A58" s="2"/>
      <c r="B58" s="2"/>
      <c r="C58" s="5" t="s">
        <v>65</v>
      </c>
      <c r="D58" s="5">
        <f>SUM(D55:D57)</f>
        <v>34</v>
      </c>
      <c r="E58" s="13">
        <f>SUM(E55:E57)</f>
        <v>1</v>
      </c>
      <c r="F58" s="2"/>
      <c r="G58" s="2"/>
      <c r="H58" s="2"/>
      <c r="I58" s="2"/>
    </row>
    <row r="62" spans="1:9" x14ac:dyDescent="0.25">
      <c r="B62" s="34" t="s">
        <v>74</v>
      </c>
      <c r="C62" s="34" t="s">
        <v>79</v>
      </c>
      <c r="D62" s="34" t="s">
        <v>80</v>
      </c>
      <c r="E62" s="34" t="s">
        <v>75</v>
      </c>
      <c r="F62" s="34" t="s">
        <v>76</v>
      </c>
    </row>
    <row r="63" spans="1:9" x14ac:dyDescent="0.25">
      <c r="B63" s="35"/>
      <c r="C63" s="35"/>
      <c r="D63" s="35"/>
      <c r="E63" s="35"/>
      <c r="F63" s="35"/>
    </row>
    <row r="64" spans="1:9" x14ac:dyDescent="0.25">
      <c r="B64" s="20" t="s">
        <v>77</v>
      </c>
      <c r="C64" s="21">
        <v>5</v>
      </c>
      <c r="D64" s="21">
        <v>14</v>
      </c>
      <c r="E64" s="22">
        <f>C64/34</f>
        <v>0.14705882352941177</v>
      </c>
      <c r="F64" s="22">
        <f>D64/34</f>
        <v>0.41176470588235292</v>
      </c>
    </row>
    <row r="65" spans="2:6" x14ac:dyDescent="0.25">
      <c r="B65" s="20" t="s">
        <v>78</v>
      </c>
      <c r="C65" s="21">
        <v>29</v>
      </c>
      <c r="D65" s="21">
        <v>20</v>
      </c>
      <c r="E65" s="22">
        <f>C65/34</f>
        <v>0.8529411764705882</v>
      </c>
      <c r="F65" s="22">
        <f>D65/34</f>
        <v>0.58823529411764708</v>
      </c>
    </row>
    <row r="69" spans="2:6" x14ac:dyDescent="0.25">
      <c r="B69" s="26"/>
      <c r="C69" s="3" t="s">
        <v>81</v>
      </c>
      <c r="D69" s="3" t="s">
        <v>82</v>
      </c>
      <c r="E69" s="3" t="s">
        <v>83</v>
      </c>
    </row>
    <row r="70" spans="2:6" x14ac:dyDescent="0.25">
      <c r="B70" s="26" t="s">
        <v>3</v>
      </c>
      <c r="C70" s="3">
        <f>MAX(C5:C38)</f>
        <v>82</v>
      </c>
      <c r="D70" s="3">
        <f>MIN(C5:C38)</f>
        <v>52</v>
      </c>
      <c r="E70" s="27">
        <f>AVERAGE(C5:C38)</f>
        <v>64.294117647058826</v>
      </c>
    </row>
    <row r="71" spans="2:6" x14ac:dyDescent="0.25">
      <c r="B71" s="26" t="s">
        <v>4</v>
      </c>
      <c r="C71" s="3">
        <f>MAX(D5:D38)</f>
        <v>94</v>
      </c>
      <c r="D71" s="3">
        <f>MIN(D5:D38)</f>
        <v>64</v>
      </c>
      <c r="E71" s="27">
        <f>AVERAGE(D5:D38)</f>
        <v>76.352941176470594</v>
      </c>
    </row>
  </sheetData>
  <mergeCells count="16">
    <mergeCell ref="B62:B63"/>
    <mergeCell ref="C62:C63"/>
    <mergeCell ref="D62:D63"/>
    <mergeCell ref="E62:E63"/>
    <mergeCell ref="F62:F63"/>
    <mergeCell ref="F43:G43"/>
    <mergeCell ref="F41:G41"/>
    <mergeCell ref="F42:G42"/>
    <mergeCell ref="A1:I1"/>
    <mergeCell ref="A3:A4"/>
    <mergeCell ref="B3:B4"/>
    <mergeCell ref="C3:E3"/>
    <mergeCell ref="F3:F4"/>
    <mergeCell ref="G3:G4"/>
    <mergeCell ref="H3:H4"/>
    <mergeCell ref="I3:I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4B094-6F28-4EDE-B3FD-275A0D339569}">
  <dimension ref="A1:I70"/>
  <sheetViews>
    <sheetView tabSelected="1" topLeftCell="A44" zoomScale="103" workbookViewId="0">
      <selection activeCell="H58" sqref="H58"/>
    </sheetView>
  </sheetViews>
  <sheetFormatPr defaultRowHeight="15" x14ac:dyDescent="0.25"/>
  <cols>
    <col min="1" max="1" width="9.140625" style="2"/>
    <col min="2" max="2" width="17.85546875" style="2" customWidth="1"/>
    <col min="3" max="3" width="18.7109375" style="2" customWidth="1"/>
    <col min="4" max="4" width="18.5703125" style="2" customWidth="1"/>
    <col min="5" max="5" width="30.140625" style="2" customWidth="1"/>
    <col min="6" max="6" width="18.7109375" style="2" customWidth="1"/>
    <col min="7" max="7" width="12.5703125" style="2" customWidth="1"/>
    <col min="8" max="8" width="12.7109375" style="2" customWidth="1"/>
    <col min="9" max="9" width="14.5703125" style="2" customWidth="1"/>
    <col min="10" max="16384" width="9.140625" style="2"/>
  </cols>
  <sheetData>
    <row r="1" spans="1:9" x14ac:dyDescent="0.25">
      <c r="A1" s="33" t="s">
        <v>73</v>
      </c>
      <c r="B1" s="33"/>
      <c r="C1" s="33"/>
      <c r="D1" s="33"/>
      <c r="E1" s="33"/>
      <c r="F1" s="33"/>
      <c r="G1" s="33"/>
      <c r="H1" s="33"/>
      <c r="I1" s="33"/>
    </row>
    <row r="2" spans="1:9" x14ac:dyDescent="0.25">
      <c r="A2" s="1"/>
      <c r="B2" s="1"/>
      <c r="C2" s="1"/>
      <c r="D2" s="1"/>
      <c r="E2" s="1"/>
    </row>
    <row r="3" spans="1:9" x14ac:dyDescent="0.25">
      <c r="A3" s="32" t="s">
        <v>0</v>
      </c>
      <c r="B3" s="32" t="s">
        <v>1</v>
      </c>
      <c r="C3" s="31" t="s">
        <v>2</v>
      </c>
      <c r="D3" s="31"/>
      <c r="E3" s="31"/>
      <c r="F3" s="32" t="s">
        <v>39</v>
      </c>
      <c r="G3" s="32" t="s">
        <v>40</v>
      </c>
      <c r="H3" s="32" t="s">
        <v>41</v>
      </c>
      <c r="I3" s="32" t="s">
        <v>42</v>
      </c>
    </row>
    <row r="4" spans="1:9" x14ac:dyDescent="0.25">
      <c r="A4" s="32"/>
      <c r="B4" s="32"/>
      <c r="C4" s="5" t="s">
        <v>3</v>
      </c>
      <c r="D4" s="5" t="s">
        <v>4</v>
      </c>
      <c r="E4" s="5" t="s">
        <v>43</v>
      </c>
      <c r="F4" s="32"/>
      <c r="G4" s="32"/>
      <c r="H4" s="32"/>
      <c r="I4" s="32"/>
    </row>
    <row r="5" spans="1:9" x14ac:dyDescent="0.25">
      <c r="A5" s="3">
        <v>1</v>
      </c>
      <c r="B5" s="3" t="s">
        <v>5</v>
      </c>
      <c r="C5" s="16">
        <v>63</v>
      </c>
      <c r="D5" s="3">
        <v>84</v>
      </c>
      <c r="E5" s="3" t="str">
        <f>IF(D5&lt;80,"TIDAK TUNTAS","TUNTAS")</f>
        <v>TUNTAS</v>
      </c>
      <c r="F5" s="3">
        <f t="shared" ref="F5:F38" si="0">D5-C5</f>
        <v>21</v>
      </c>
      <c r="G5" s="3">
        <f t="shared" ref="G5:G38" si="1">100-C5</f>
        <v>37</v>
      </c>
      <c r="H5" s="17">
        <f>F5/34</f>
        <v>0.61764705882352944</v>
      </c>
      <c r="I5" s="3" t="str">
        <f>IF(H5&gt;0.7,"TINGGI",IF(H5&gt;0.3,"SEDANG","RENDAH"))</f>
        <v>SEDANG</v>
      </c>
    </row>
    <row r="6" spans="1:9" x14ac:dyDescent="0.25">
      <c r="A6" s="3">
        <v>2</v>
      </c>
      <c r="B6" s="3" t="s">
        <v>6</v>
      </c>
      <c r="C6" s="16">
        <v>68</v>
      </c>
      <c r="D6" s="3">
        <v>94</v>
      </c>
      <c r="E6" s="3" t="str">
        <f t="shared" ref="E6:E38" si="2">IF(D6&lt;80,"TIDAK TUNTAS","TUNTAS")</f>
        <v>TUNTAS</v>
      </c>
      <c r="F6" s="3">
        <f t="shared" si="0"/>
        <v>26</v>
      </c>
      <c r="G6" s="3">
        <f t="shared" si="1"/>
        <v>32</v>
      </c>
      <c r="H6" s="17">
        <f t="shared" ref="H6:H38" si="3">F6/34</f>
        <v>0.76470588235294112</v>
      </c>
      <c r="I6" s="3" t="str">
        <f t="shared" ref="I6:I38" si="4">IF(H6&gt;0.7,"TINGGI",IF(H6&gt;0.3,"SEDANG","RENDAH"))</f>
        <v>TINGGI</v>
      </c>
    </row>
    <row r="7" spans="1:9" x14ac:dyDescent="0.25">
      <c r="A7" s="3">
        <v>3</v>
      </c>
      <c r="B7" s="3" t="s">
        <v>7</v>
      </c>
      <c r="C7" s="16">
        <v>75</v>
      </c>
      <c r="D7" s="3">
        <v>100</v>
      </c>
      <c r="E7" s="3" t="str">
        <f t="shared" si="2"/>
        <v>TUNTAS</v>
      </c>
      <c r="F7" s="3">
        <f t="shared" si="0"/>
        <v>25</v>
      </c>
      <c r="G7" s="3">
        <f t="shared" si="1"/>
        <v>25</v>
      </c>
      <c r="H7" s="17">
        <f t="shared" si="3"/>
        <v>0.73529411764705888</v>
      </c>
      <c r="I7" s="3" t="str">
        <f t="shared" si="4"/>
        <v>TINGGI</v>
      </c>
    </row>
    <row r="8" spans="1:9" x14ac:dyDescent="0.25">
      <c r="A8" s="3">
        <v>4</v>
      </c>
      <c r="B8" s="3" t="s">
        <v>8</v>
      </c>
      <c r="C8" s="16">
        <v>81</v>
      </c>
      <c r="D8" s="3">
        <v>98</v>
      </c>
      <c r="E8" s="3" t="str">
        <f t="shared" si="2"/>
        <v>TUNTAS</v>
      </c>
      <c r="F8" s="3">
        <f t="shared" si="0"/>
        <v>17</v>
      </c>
      <c r="G8" s="3">
        <f t="shared" si="1"/>
        <v>19</v>
      </c>
      <c r="H8" s="17">
        <f t="shared" si="3"/>
        <v>0.5</v>
      </c>
      <c r="I8" s="3" t="str">
        <f t="shared" si="4"/>
        <v>SEDANG</v>
      </c>
    </row>
    <row r="9" spans="1:9" x14ac:dyDescent="0.25">
      <c r="A9" s="3">
        <v>5</v>
      </c>
      <c r="B9" s="3" t="s">
        <v>9</v>
      </c>
      <c r="C9" s="16">
        <v>81</v>
      </c>
      <c r="D9" s="3">
        <v>100</v>
      </c>
      <c r="E9" s="3" t="str">
        <f t="shared" si="2"/>
        <v>TUNTAS</v>
      </c>
      <c r="F9" s="3">
        <f t="shared" si="0"/>
        <v>19</v>
      </c>
      <c r="G9" s="3">
        <f t="shared" si="1"/>
        <v>19</v>
      </c>
      <c r="H9" s="17">
        <f t="shared" si="3"/>
        <v>0.55882352941176472</v>
      </c>
      <c r="I9" s="3" t="str">
        <f t="shared" si="4"/>
        <v>SEDANG</v>
      </c>
    </row>
    <row r="10" spans="1:9" x14ac:dyDescent="0.25">
      <c r="A10" s="3">
        <v>6</v>
      </c>
      <c r="B10" s="3" t="s">
        <v>10</v>
      </c>
      <c r="C10" s="16">
        <v>73</v>
      </c>
      <c r="D10" s="3">
        <v>97</v>
      </c>
      <c r="E10" s="3" t="str">
        <f t="shared" si="2"/>
        <v>TUNTAS</v>
      </c>
      <c r="F10" s="3">
        <f t="shared" si="0"/>
        <v>24</v>
      </c>
      <c r="G10" s="3">
        <f t="shared" si="1"/>
        <v>27</v>
      </c>
      <c r="H10" s="17">
        <f t="shared" si="3"/>
        <v>0.70588235294117652</v>
      </c>
      <c r="I10" s="3" t="str">
        <f t="shared" si="4"/>
        <v>TINGGI</v>
      </c>
    </row>
    <row r="11" spans="1:9" x14ac:dyDescent="0.25">
      <c r="A11" s="3">
        <v>7</v>
      </c>
      <c r="B11" s="3" t="s">
        <v>11</v>
      </c>
      <c r="C11" s="16">
        <v>67</v>
      </c>
      <c r="D11" s="3">
        <v>91</v>
      </c>
      <c r="E11" s="3" t="str">
        <f t="shared" si="2"/>
        <v>TUNTAS</v>
      </c>
      <c r="F11" s="3">
        <f t="shared" si="0"/>
        <v>24</v>
      </c>
      <c r="G11" s="3">
        <f t="shared" si="1"/>
        <v>33</v>
      </c>
      <c r="H11" s="17">
        <f t="shared" si="3"/>
        <v>0.70588235294117652</v>
      </c>
      <c r="I11" s="3" t="str">
        <f t="shared" si="4"/>
        <v>TINGGI</v>
      </c>
    </row>
    <row r="12" spans="1:9" x14ac:dyDescent="0.25">
      <c r="A12" s="3">
        <v>8</v>
      </c>
      <c r="B12" s="3" t="s">
        <v>12</v>
      </c>
      <c r="C12" s="16">
        <v>78</v>
      </c>
      <c r="D12" s="3">
        <v>95</v>
      </c>
      <c r="E12" s="3" t="str">
        <f t="shared" si="2"/>
        <v>TUNTAS</v>
      </c>
      <c r="F12" s="3">
        <f t="shared" si="0"/>
        <v>17</v>
      </c>
      <c r="G12" s="3">
        <f t="shared" si="1"/>
        <v>22</v>
      </c>
      <c r="H12" s="17">
        <f t="shared" si="3"/>
        <v>0.5</v>
      </c>
      <c r="I12" s="3" t="str">
        <f t="shared" si="4"/>
        <v>SEDANG</v>
      </c>
    </row>
    <row r="13" spans="1:9" x14ac:dyDescent="0.25">
      <c r="A13" s="3">
        <v>9</v>
      </c>
      <c r="B13" s="3" t="s">
        <v>13</v>
      </c>
      <c r="C13" s="16">
        <v>81</v>
      </c>
      <c r="D13" s="3">
        <v>92</v>
      </c>
      <c r="E13" s="3" t="str">
        <f t="shared" si="2"/>
        <v>TUNTAS</v>
      </c>
      <c r="F13" s="3">
        <f t="shared" si="0"/>
        <v>11</v>
      </c>
      <c r="G13" s="3">
        <f t="shared" si="1"/>
        <v>19</v>
      </c>
      <c r="H13" s="17">
        <f t="shared" si="3"/>
        <v>0.3235294117647059</v>
      </c>
      <c r="I13" s="3" t="str">
        <f t="shared" si="4"/>
        <v>SEDANG</v>
      </c>
    </row>
    <row r="14" spans="1:9" x14ac:dyDescent="0.25">
      <c r="A14" s="3">
        <v>10</v>
      </c>
      <c r="B14" s="3" t="s">
        <v>14</v>
      </c>
      <c r="C14" s="16">
        <v>75</v>
      </c>
      <c r="D14" s="3">
        <v>86</v>
      </c>
      <c r="E14" s="3" t="str">
        <f t="shared" si="2"/>
        <v>TUNTAS</v>
      </c>
      <c r="F14" s="3">
        <f t="shared" si="0"/>
        <v>11</v>
      </c>
      <c r="G14" s="3">
        <f t="shared" si="1"/>
        <v>25</v>
      </c>
      <c r="H14" s="17">
        <f t="shared" si="3"/>
        <v>0.3235294117647059</v>
      </c>
      <c r="I14" s="3" t="str">
        <f t="shared" si="4"/>
        <v>SEDANG</v>
      </c>
    </row>
    <row r="15" spans="1:9" x14ac:dyDescent="0.25">
      <c r="A15" s="3">
        <v>11</v>
      </c>
      <c r="B15" s="3" t="s">
        <v>15</v>
      </c>
      <c r="C15" s="16">
        <v>80</v>
      </c>
      <c r="D15" s="3">
        <v>97</v>
      </c>
      <c r="E15" s="3" t="str">
        <f t="shared" si="2"/>
        <v>TUNTAS</v>
      </c>
      <c r="F15" s="3">
        <f t="shared" si="0"/>
        <v>17</v>
      </c>
      <c r="G15" s="3">
        <f t="shared" si="1"/>
        <v>20</v>
      </c>
      <c r="H15" s="17">
        <f t="shared" si="3"/>
        <v>0.5</v>
      </c>
      <c r="I15" s="3" t="str">
        <f t="shared" si="4"/>
        <v>SEDANG</v>
      </c>
    </row>
    <row r="16" spans="1:9" x14ac:dyDescent="0.25">
      <c r="A16" s="3">
        <v>12</v>
      </c>
      <c r="B16" s="3" t="s">
        <v>16</v>
      </c>
      <c r="C16" s="16">
        <v>64</v>
      </c>
      <c r="D16" s="3">
        <v>84</v>
      </c>
      <c r="E16" s="3" t="str">
        <f t="shared" si="2"/>
        <v>TUNTAS</v>
      </c>
      <c r="F16" s="3">
        <f t="shared" si="0"/>
        <v>20</v>
      </c>
      <c r="G16" s="3">
        <f t="shared" si="1"/>
        <v>36</v>
      </c>
      <c r="H16" s="17">
        <f t="shared" si="3"/>
        <v>0.58823529411764708</v>
      </c>
      <c r="I16" s="3" t="str">
        <f t="shared" si="4"/>
        <v>SEDANG</v>
      </c>
    </row>
    <row r="17" spans="1:9" x14ac:dyDescent="0.25">
      <c r="A17" s="3">
        <v>13</v>
      </c>
      <c r="B17" s="3" t="s">
        <v>17</v>
      </c>
      <c r="C17" s="16">
        <v>73</v>
      </c>
      <c r="D17" s="3">
        <v>97</v>
      </c>
      <c r="E17" s="3" t="str">
        <f t="shared" si="2"/>
        <v>TUNTAS</v>
      </c>
      <c r="F17" s="3">
        <f t="shared" si="0"/>
        <v>24</v>
      </c>
      <c r="G17" s="3">
        <f t="shared" si="1"/>
        <v>27</v>
      </c>
      <c r="H17" s="17">
        <f t="shared" si="3"/>
        <v>0.70588235294117652</v>
      </c>
      <c r="I17" s="3" t="str">
        <f t="shared" si="4"/>
        <v>TINGGI</v>
      </c>
    </row>
    <row r="18" spans="1:9" x14ac:dyDescent="0.25">
      <c r="A18" s="3">
        <v>14</v>
      </c>
      <c r="B18" s="3" t="s">
        <v>18</v>
      </c>
      <c r="C18" s="16">
        <v>70</v>
      </c>
      <c r="D18" s="3">
        <v>83</v>
      </c>
      <c r="E18" s="3" t="str">
        <f t="shared" si="2"/>
        <v>TUNTAS</v>
      </c>
      <c r="F18" s="3">
        <f t="shared" si="0"/>
        <v>13</v>
      </c>
      <c r="G18" s="3">
        <f t="shared" si="1"/>
        <v>30</v>
      </c>
      <c r="H18" s="17">
        <f t="shared" si="3"/>
        <v>0.38235294117647056</v>
      </c>
      <c r="I18" s="3" t="str">
        <f t="shared" si="4"/>
        <v>SEDANG</v>
      </c>
    </row>
    <row r="19" spans="1:9" x14ac:dyDescent="0.25">
      <c r="A19" s="3">
        <v>15</v>
      </c>
      <c r="B19" s="3" t="s">
        <v>19</v>
      </c>
      <c r="C19" s="16">
        <v>81</v>
      </c>
      <c r="D19" s="3">
        <v>93</v>
      </c>
      <c r="E19" s="3" t="str">
        <f t="shared" si="2"/>
        <v>TUNTAS</v>
      </c>
      <c r="F19" s="3">
        <f t="shared" si="0"/>
        <v>12</v>
      </c>
      <c r="G19" s="3">
        <f t="shared" si="1"/>
        <v>19</v>
      </c>
      <c r="H19" s="17">
        <f t="shared" si="3"/>
        <v>0.35294117647058826</v>
      </c>
      <c r="I19" s="3" t="str">
        <f t="shared" si="4"/>
        <v>SEDANG</v>
      </c>
    </row>
    <row r="20" spans="1:9" x14ac:dyDescent="0.25">
      <c r="A20" s="3">
        <v>16</v>
      </c>
      <c r="B20" s="3" t="s">
        <v>20</v>
      </c>
      <c r="C20" s="16">
        <v>85</v>
      </c>
      <c r="D20" s="3">
        <v>96</v>
      </c>
      <c r="E20" s="3" t="str">
        <f t="shared" si="2"/>
        <v>TUNTAS</v>
      </c>
      <c r="F20" s="3">
        <f t="shared" si="0"/>
        <v>11</v>
      </c>
      <c r="G20" s="3">
        <f t="shared" si="1"/>
        <v>15</v>
      </c>
      <c r="H20" s="17">
        <f t="shared" si="3"/>
        <v>0.3235294117647059</v>
      </c>
      <c r="I20" s="3" t="str">
        <f t="shared" si="4"/>
        <v>SEDANG</v>
      </c>
    </row>
    <row r="21" spans="1:9" x14ac:dyDescent="0.25">
      <c r="A21" s="3">
        <v>17</v>
      </c>
      <c r="B21" s="3" t="s">
        <v>21</v>
      </c>
      <c r="C21" s="16">
        <v>80</v>
      </c>
      <c r="D21" s="3">
        <v>91</v>
      </c>
      <c r="E21" s="3" t="str">
        <f t="shared" si="2"/>
        <v>TUNTAS</v>
      </c>
      <c r="F21" s="3">
        <f t="shared" si="0"/>
        <v>11</v>
      </c>
      <c r="G21" s="3">
        <f t="shared" si="1"/>
        <v>20</v>
      </c>
      <c r="H21" s="17">
        <f t="shared" si="3"/>
        <v>0.3235294117647059</v>
      </c>
      <c r="I21" s="3" t="str">
        <f t="shared" si="4"/>
        <v>SEDANG</v>
      </c>
    </row>
    <row r="22" spans="1:9" x14ac:dyDescent="0.25">
      <c r="A22" s="3">
        <v>18</v>
      </c>
      <c r="B22" s="3" t="s">
        <v>22</v>
      </c>
      <c r="C22" s="16">
        <v>65</v>
      </c>
      <c r="D22" s="3">
        <v>83</v>
      </c>
      <c r="E22" s="3" t="str">
        <f t="shared" si="2"/>
        <v>TUNTAS</v>
      </c>
      <c r="F22" s="3">
        <f t="shared" si="0"/>
        <v>18</v>
      </c>
      <c r="G22" s="3">
        <f t="shared" si="1"/>
        <v>35</v>
      </c>
      <c r="H22" s="17">
        <f t="shared" si="3"/>
        <v>0.52941176470588236</v>
      </c>
      <c r="I22" s="3" t="str">
        <f t="shared" si="4"/>
        <v>SEDANG</v>
      </c>
    </row>
    <row r="23" spans="1:9" x14ac:dyDescent="0.25">
      <c r="A23" s="3">
        <v>19</v>
      </c>
      <c r="B23" s="3" t="s">
        <v>23</v>
      </c>
      <c r="C23" s="16">
        <v>86</v>
      </c>
      <c r="D23" s="3">
        <v>92</v>
      </c>
      <c r="E23" s="3" t="str">
        <f t="shared" si="2"/>
        <v>TUNTAS</v>
      </c>
      <c r="F23" s="3">
        <f t="shared" si="0"/>
        <v>6</v>
      </c>
      <c r="G23" s="3">
        <f t="shared" si="1"/>
        <v>14</v>
      </c>
      <c r="H23" s="17">
        <f t="shared" si="3"/>
        <v>0.17647058823529413</v>
      </c>
      <c r="I23" s="3" t="str">
        <f t="shared" si="4"/>
        <v>RENDAH</v>
      </c>
    </row>
    <row r="24" spans="1:9" x14ac:dyDescent="0.25">
      <c r="A24" s="3">
        <v>20</v>
      </c>
      <c r="B24" s="3" t="s">
        <v>24</v>
      </c>
      <c r="C24" s="16">
        <v>75</v>
      </c>
      <c r="D24" s="3">
        <v>99</v>
      </c>
      <c r="E24" s="3" t="str">
        <f t="shared" si="2"/>
        <v>TUNTAS</v>
      </c>
      <c r="F24" s="3">
        <f t="shared" si="0"/>
        <v>24</v>
      </c>
      <c r="G24" s="3">
        <f t="shared" si="1"/>
        <v>25</v>
      </c>
      <c r="H24" s="17">
        <f t="shared" si="3"/>
        <v>0.70588235294117652</v>
      </c>
      <c r="I24" s="3" t="str">
        <f t="shared" si="4"/>
        <v>TINGGI</v>
      </c>
    </row>
    <row r="25" spans="1:9" x14ac:dyDescent="0.25">
      <c r="A25" s="3">
        <v>21</v>
      </c>
      <c r="B25" s="3" t="s">
        <v>25</v>
      </c>
      <c r="C25" s="16">
        <v>68</v>
      </c>
      <c r="D25" s="3">
        <v>92</v>
      </c>
      <c r="E25" s="3" t="str">
        <f t="shared" si="2"/>
        <v>TUNTAS</v>
      </c>
      <c r="F25" s="3">
        <f t="shared" si="0"/>
        <v>24</v>
      </c>
      <c r="G25" s="3">
        <f t="shared" si="1"/>
        <v>32</v>
      </c>
      <c r="H25" s="17">
        <f t="shared" si="3"/>
        <v>0.70588235294117652</v>
      </c>
      <c r="I25" s="3" t="str">
        <f t="shared" si="4"/>
        <v>TINGGI</v>
      </c>
    </row>
    <row r="26" spans="1:9" x14ac:dyDescent="0.25">
      <c r="A26" s="3">
        <v>22</v>
      </c>
      <c r="B26" s="3" t="s">
        <v>26</v>
      </c>
      <c r="C26" s="16">
        <v>69</v>
      </c>
      <c r="D26" s="3">
        <v>84</v>
      </c>
      <c r="E26" s="3" t="str">
        <f t="shared" si="2"/>
        <v>TUNTAS</v>
      </c>
      <c r="F26" s="3">
        <f t="shared" si="0"/>
        <v>15</v>
      </c>
      <c r="G26" s="3">
        <f t="shared" si="1"/>
        <v>31</v>
      </c>
      <c r="H26" s="17">
        <f t="shared" si="3"/>
        <v>0.44117647058823528</v>
      </c>
      <c r="I26" s="3" t="str">
        <f t="shared" si="4"/>
        <v>SEDANG</v>
      </c>
    </row>
    <row r="27" spans="1:9" x14ac:dyDescent="0.25">
      <c r="A27" s="3">
        <v>23</v>
      </c>
      <c r="B27" s="3" t="s">
        <v>27</v>
      </c>
      <c r="C27" s="16">
        <v>75</v>
      </c>
      <c r="D27" s="3">
        <v>87</v>
      </c>
      <c r="E27" s="3" t="str">
        <f t="shared" si="2"/>
        <v>TUNTAS</v>
      </c>
      <c r="F27" s="3">
        <f t="shared" si="0"/>
        <v>12</v>
      </c>
      <c r="G27" s="3">
        <f t="shared" si="1"/>
        <v>25</v>
      </c>
      <c r="H27" s="17">
        <f t="shared" si="3"/>
        <v>0.35294117647058826</v>
      </c>
      <c r="I27" s="3" t="str">
        <f t="shared" si="4"/>
        <v>SEDANG</v>
      </c>
    </row>
    <row r="28" spans="1:9" x14ac:dyDescent="0.25">
      <c r="A28" s="3">
        <v>24</v>
      </c>
      <c r="B28" s="3" t="s">
        <v>28</v>
      </c>
      <c r="C28" s="16">
        <v>80</v>
      </c>
      <c r="D28" s="3">
        <v>94</v>
      </c>
      <c r="E28" s="3" t="str">
        <f t="shared" si="2"/>
        <v>TUNTAS</v>
      </c>
      <c r="F28" s="3">
        <f t="shared" si="0"/>
        <v>14</v>
      </c>
      <c r="G28" s="3">
        <f t="shared" si="1"/>
        <v>20</v>
      </c>
      <c r="H28" s="17">
        <f t="shared" si="3"/>
        <v>0.41176470588235292</v>
      </c>
      <c r="I28" s="3" t="str">
        <f t="shared" si="4"/>
        <v>SEDANG</v>
      </c>
    </row>
    <row r="29" spans="1:9" x14ac:dyDescent="0.25">
      <c r="A29" s="3">
        <v>25</v>
      </c>
      <c r="B29" s="3" t="s">
        <v>29</v>
      </c>
      <c r="C29" s="16">
        <v>74</v>
      </c>
      <c r="D29" s="3">
        <v>98</v>
      </c>
      <c r="E29" s="3" t="str">
        <f t="shared" si="2"/>
        <v>TUNTAS</v>
      </c>
      <c r="F29" s="3">
        <f t="shared" si="0"/>
        <v>24</v>
      </c>
      <c r="G29" s="3">
        <f t="shared" si="1"/>
        <v>26</v>
      </c>
      <c r="H29" s="17">
        <f t="shared" si="3"/>
        <v>0.70588235294117652</v>
      </c>
      <c r="I29" s="3" t="str">
        <f t="shared" si="4"/>
        <v>TINGGI</v>
      </c>
    </row>
    <row r="30" spans="1:9" x14ac:dyDescent="0.25">
      <c r="A30" s="3">
        <v>26</v>
      </c>
      <c r="B30" s="3" t="s">
        <v>30</v>
      </c>
      <c r="C30" s="16">
        <v>87</v>
      </c>
      <c r="D30" s="3">
        <v>100</v>
      </c>
      <c r="E30" s="3" t="str">
        <f t="shared" si="2"/>
        <v>TUNTAS</v>
      </c>
      <c r="F30" s="3">
        <f t="shared" si="0"/>
        <v>13</v>
      </c>
      <c r="G30" s="3">
        <f t="shared" si="1"/>
        <v>13</v>
      </c>
      <c r="H30" s="17">
        <f t="shared" si="3"/>
        <v>0.38235294117647056</v>
      </c>
      <c r="I30" s="3" t="str">
        <f t="shared" si="4"/>
        <v>SEDANG</v>
      </c>
    </row>
    <row r="31" spans="1:9" x14ac:dyDescent="0.25">
      <c r="A31" s="3">
        <v>27</v>
      </c>
      <c r="B31" s="3" t="s">
        <v>31</v>
      </c>
      <c r="C31" s="16">
        <v>80</v>
      </c>
      <c r="D31" s="3">
        <v>93</v>
      </c>
      <c r="E31" s="3" t="str">
        <f t="shared" si="2"/>
        <v>TUNTAS</v>
      </c>
      <c r="F31" s="3">
        <f t="shared" si="0"/>
        <v>13</v>
      </c>
      <c r="G31" s="3">
        <f t="shared" si="1"/>
        <v>20</v>
      </c>
      <c r="H31" s="17">
        <f t="shared" si="3"/>
        <v>0.38235294117647056</v>
      </c>
      <c r="I31" s="3" t="str">
        <f t="shared" si="4"/>
        <v>SEDANG</v>
      </c>
    </row>
    <row r="32" spans="1:9" x14ac:dyDescent="0.25">
      <c r="A32" s="3">
        <v>28</v>
      </c>
      <c r="B32" s="3" t="s">
        <v>32</v>
      </c>
      <c r="C32" s="16">
        <v>94</v>
      </c>
      <c r="D32" s="3">
        <v>100</v>
      </c>
      <c r="E32" s="3" t="str">
        <f t="shared" si="2"/>
        <v>TUNTAS</v>
      </c>
      <c r="F32" s="3">
        <f t="shared" si="0"/>
        <v>6</v>
      </c>
      <c r="G32" s="3">
        <f t="shared" si="1"/>
        <v>6</v>
      </c>
      <c r="H32" s="17">
        <f t="shared" si="3"/>
        <v>0.17647058823529413</v>
      </c>
      <c r="I32" s="3" t="str">
        <f t="shared" si="4"/>
        <v>RENDAH</v>
      </c>
    </row>
    <row r="33" spans="1:9" x14ac:dyDescent="0.25">
      <c r="A33" s="3">
        <v>29</v>
      </c>
      <c r="B33" s="3" t="s">
        <v>33</v>
      </c>
      <c r="C33" s="16">
        <v>80</v>
      </c>
      <c r="D33" s="3">
        <v>94</v>
      </c>
      <c r="E33" s="3" t="str">
        <f t="shared" si="2"/>
        <v>TUNTAS</v>
      </c>
      <c r="F33" s="3">
        <f t="shared" si="0"/>
        <v>14</v>
      </c>
      <c r="G33" s="3">
        <f t="shared" si="1"/>
        <v>20</v>
      </c>
      <c r="H33" s="17">
        <f t="shared" si="3"/>
        <v>0.41176470588235292</v>
      </c>
      <c r="I33" s="3" t="str">
        <f t="shared" si="4"/>
        <v>SEDANG</v>
      </c>
    </row>
    <row r="34" spans="1:9" x14ac:dyDescent="0.25">
      <c r="A34" s="3">
        <v>30</v>
      </c>
      <c r="B34" s="3" t="s">
        <v>34</v>
      </c>
      <c r="C34" s="16">
        <v>68</v>
      </c>
      <c r="D34" s="3">
        <v>98</v>
      </c>
      <c r="E34" s="3" t="str">
        <f t="shared" si="2"/>
        <v>TUNTAS</v>
      </c>
      <c r="F34" s="3">
        <f t="shared" si="0"/>
        <v>30</v>
      </c>
      <c r="G34" s="3">
        <f t="shared" si="1"/>
        <v>32</v>
      </c>
      <c r="H34" s="17">
        <f t="shared" si="3"/>
        <v>0.88235294117647056</v>
      </c>
      <c r="I34" s="3" t="str">
        <f t="shared" si="4"/>
        <v>TINGGI</v>
      </c>
    </row>
    <row r="35" spans="1:9" x14ac:dyDescent="0.25">
      <c r="A35" s="3">
        <v>31</v>
      </c>
      <c r="B35" s="3" t="s">
        <v>35</v>
      </c>
      <c r="C35" s="16">
        <v>87</v>
      </c>
      <c r="D35" s="3">
        <v>100</v>
      </c>
      <c r="E35" s="3" t="str">
        <f t="shared" si="2"/>
        <v>TUNTAS</v>
      </c>
      <c r="F35" s="3">
        <f t="shared" si="0"/>
        <v>13</v>
      </c>
      <c r="G35" s="3">
        <f t="shared" si="1"/>
        <v>13</v>
      </c>
      <c r="H35" s="17">
        <f t="shared" si="3"/>
        <v>0.38235294117647056</v>
      </c>
      <c r="I35" s="3" t="str">
        <f t="shared" si="4"/>
        <v>SEDANG</v>
      </c>
    </row>
    <row r="36" spans="1:9" x14ac:dyDescent="0.25">
      <c r="A36" s="3">
        <v>32</v>
      </c>
      <c r="B36" s="3" t="s">
        <v>36</v>
      </c>
      <c r="C36" s="16">
        <v>74</v>
      </c>
      <c r="D36" s="3">
        <v>88</v>
      </c>
      <c r="E36" s="3" t="str">
        <f t="shared" si="2"/>
        <v>TUNTAS</v>
      </c>
      <c r="F36" s="3">
        <f t="shared" si="0"/>
        <v>14</v>
      </c>
      <c r="G36" s="3">
        <f t="shared" si="1"/>
        <v>26</v>
      </c>
      <c r="H36" s="17">
        <f t="shared" si="3"/>
        <v>0.41176470588235292</v>
      </c>
      <c r="I36" s="3" t="str">
        <f t="shared" si="4"/>
        <v>SEDANG</v>
      </c>
    </row>
    <row r="37" spans="1:9" x14ac:dyDescent="0.25">
      <c r="A37" s="3">
        <v>33</v>
      </c>
      <c r="B37" s="3" t="s">
        <v>37</v>
      </c>
      <c r="C37" s="16">
        <v>73</v>
      </c>
      <c r="D37" s="3">
        <v>84</v>
      </c>
      <c r="E37" s="3" t="str">
        <f t="shared" si="2"/>
        <v>TUNTAS</v>
      </c>
      <c r="F37" s="3">
        <f t="shared" si="0"/>
        <v>11</v>
      </c>
      <c r="G37" s="3">
        <f t="shared" si="1"/>
        <v>27</v>
      </c>
      <c r="H37" s="17">
        <f t="shared" si="3"/>
        <v>0.3235294117647059</v>
      </c>
      <c r="I37" s="3" t="str">
        <f t="shared" si="4"/>
        <v>SEDANG</v>
      </c>
    </row>
    <row r="38" spans="1:9" x14ac:dyDescent="0.25">
      <c r="A38" s="3">
        <v>34</v>
      </c>
      <c r="B38" s="3" t="s">
        <v>38</v>
      </c>
      <c r="C38" s="16">
        <v>67</v>
      </c>
      <c r="D38" s="3">
        <v>83</v>
      </c>
      <c r="E38" s="3" t="str">
        <f t="shared" si="2"/>
        <v>TUNTAS</v>
      </c>
      <c r="F38" s="3">
        <f t="shared" si="0"/>
        <v>16</v>
      </c>
      <c r="G38" s="3">
        <f t="shared" si="1"/>
        <v>33</v>
      </c>
      <c r="H38" s="17">
        <f t="shared" si="3"/>
        <v>0.47058823529411764</v>
      </c>
      <c r="I38" s="3" t="str">
        <f t="shared" si="4"/>
        <v>SEDANG</v>
      </c>
    </row>
    <row r="39" spans="1:9" x14ac:dyDescent="0.25">
      <c r="B39" s="14" t="s">
        <v>44</v>
      </c>
      <c r="C39" s="15">
        <f>SUM(C5:C38)</f>
        <v>2577</v>
      </c>
      <c r="D39" s="15">
        <f>SUM(D5:D38)</f>
        <v>3147</v>
      </c>
    </row>
    <row r="40" spans="1:9" x14ac:dyDescent="0.25">
      <c r="B40" s="4" t="s">
        <v>45</v>
      </c>
      <c r="C40" s="6">
        <f>_xlfn.STDEV.S(C5:C38)</f>
        <v>7.4702618986367941</v>
      </c>
      <c r="D40" s="6">
        <f>_xlfn.STDEV.S(D5:D38)</f>
        <v>5.9247359049726454</v>
      </c>
    </row>
    <row r="41" spans="1:9" x14ac:dyDescent="0.25">
      <c r="E41" s="4" t="s">
        <v>46</v>
      </c>
      <c r="F41" s="31">
        <v>34</v>
      </c>
      <c r="G41" s="31"/>
    </row>
    <row r="42" spans="1:9" x14ac:dyDescent="0.25">
      <c r="E42" s="4" t="s">
        <v>47</v>
      </c>
      <c r="F42" s="31">
        <v>34</v>
      </c>
      <c r="G42" s="31"/>
    </row>
    <row r="43" spans="1:9" x14ac:dyDescent="0.25">
      <c r="E43" s="4" t="s">
        <v>48</v>
      </c>
      <c r="F43" s="29">
        <f>F41/F42*100%</f>
        <v>1</v>
      </c>
      <c r="G43" s="30"/>
    </row>
    <row r="46" spans="1:9" x14ac:dyDescent="0.25">
      <c r="B46" s="7" t="s">
        <v>49</v>
      </c>
      <c r="C46" s="7" t="s">
        <v>50</v>
      </c>
      <c r="D46" s="7" t="s">
        <v>51</v>
      </c>
      <c r="E46" s="7" t="s">
        <v>52</v>
      </c>
    </row>
    <row r="47" spans="1:9" x14ac:dyDescent="0.25">
      <c r="B47" s="8" t="s">
        <v>53</v>
      </c>
      <c r="C47" s="8" t="s">
        <v>66</v>
      </c>
      <c r="D47" s="8">
        <v>27</v>
      </c>
      <c r="E47" s="10">
        <f>D47/34*100%</f>
        <v>0.79411764705882348</v>
      </c>
    </row>
    <row r="48" spans="1:9" x14ac:dyDescent="0.25">
      <c r="B48" s="8" t="s">
        <v>54</v>
      </c>
      <c r="C48" s="8" t="s">
        <v>67</v>
      </c>
      <c r="D48" s="8">
        <v>7</v>
      </c>
      <c r="E48" s="10">
        <f>D48/34*100%</f>
        <v>0.20588235294117646</v>
      </c>
    </row>
    <row r="49" spans="2:6" x14ac:dyDescent="0.25">
      <c r="B49" s="8" t="s">
        <v>55</v>
      </c>
      <c r="C49" s="8" t="s">
        <v>68</v>
      </c>
      <c r="D49" s="8">
        <v>0</v>
      </c>
      <c r="E49" s="10">
        <f>D49/34*100%</f>
        <v>0</v>
      </c>
    </row>
    <row r="50" spans="2:6" x14ac:dyDescent="0.25">
      <c r="B50" s="8" t="s">
        <v>56</v>
      </c>
      <c r="C50" s="8" t="s">
        <v>69</v>
      </c>
      <c r="D50" s="8">
        <v>0</v>
      </c>
      <c r="E50" s="9">
        <f>D50/34*100%</f>
        <v>0</v>
      </c>
    </row>
    <row r="51" spans="2:6" x14ac:dyDescent="0.25">
      <c r="B51" s="18"/>
      <c r="C51" s="7" t="s">
        <v>70</v>
      </c>
      <c r="D51" s="7">
        <f>SUM(D47:D50)</f>
        <v>34</v>
      </c>
      <c r="E51" s="12">
        <f>SUM(E47:E50)</f>
        <v>1</v>
      </c>
    </row>
    <row r="54" spans="2:6" ht="28.5" x14ac:dyDescent="0.25">
      <c r="B54" s="11" t="s">
        <v>57</v>
      </c>
      <c r="C54" s="11" t="s">
        <v>58</v>
      </c>
      <c r="D54" s="11" t="s">
        <v>51</v>
      </c>
      <c r="E54" s="11" t="s">
        <v>52</v>
      </c>
    </row>
    <row r="55" spans="2:6" x14ac:dyDescent="0.25">
      <c r="B55" s="11" t="s">
        <v>59</v>
      </c>
      <c r="C55" s="11" t="s">
        <v>60</v>
      </c>
      <c r="D55" s="11">
        <v>9</v>
      </c>
      <c r="E55" s="12">
        <f>D55/34*100%</f>
        <v>0.26470588235294118</v>
      </c>
    </row>
    <row r="56" spans="2:6" x14ac:dyDescent="0.25">
      <c r="B56" s="11" t="s">
        <v>61</v>
      </c>
      <c r="C56" s="11" t="s">
        <v>62</v>
      </c>
      <c r="D56" s="11">
        <v>23</v>
      </c>
      <c r="E56" s="12">
        <f>D56/34*100%</f>
        <v>0.67647058823529416</v>
      </c>
    </row>
    <row r="57" spans="2:6" x14ac:dyDescent="0.25">
      <c r="B57" s="11" t="s">
        <v>63</v>
      </c>
      <c r="C57" s="11" t="s">
        <v>64</v>
      </c>
      <c r="D57" s="11">
        <v>2</v>
      </c>
      <c r="E57" s="12">
        <f>D57/34*100%</f>
        <v>5.8823529411764705E-2</v>
      </c>
    </row>
    <row r="58" spans="2:6" x14ac:dyDescent="0.25">
      <c r="C58" s="5" t="s">
        <v>65</v>
      </c>
      <c r="D58" s="5">
        <f>SUM(D55:D57)</f>
        <v>34</v>
      </c>
      <c r="E58" s="13">
        <f>SUM(E55:E57)</f>
        <v>1</v>
      </c>
    </row>
    <row r="61" spans="2:6" x14ac:dyDescent="0.25">
      <c r="B61" s="34" t="s">
        <v>74</v>
      </c>
      <c r="C61" s="34" t="s">
        <v>79</v>
      </c>
      <c r="D61" s="34" t="s">
        <v>80</v>
      </c>
      <c r="E61" s="34" t="s">
        <v>75</v>
      </c>
      <c r="F61" s="34" t="s">
        <v>76</v>
      </c>
    </row>
    <row r="62" spans="2:6" x14ac:dyDescent="0.25">
      <c r="B62" s="35"/>
      <c r="C62" s="35"/>
      <c r="D62" s="35"/>
      <c r="E62" s="35"/>
      <c r="F62" s="35"/>
    </row>
    <row r="63" spans="2:6" x14ac:dyDescent="0.25">
      <c r="B63" s="20" t="s">
        <v>77</v>
      </c>
      <c r="C63" s="21">
        <v>14</v>
      </c>
      <c r="D63" s="21">
        <v>34</v>
      </c>
      <c r="E63" s="22">
        <f>C63/34</f>
        <v>0.41176470588235292</v>
      </c>
      <c r="F63" s="22">
        <f>D63/34</f>
        <v>1</v>
      </c>
    </row>
    <row r="64" spans="2:6" x14ac:dyDescent="0.25">
      <c r="B64" s="20" t="s">
        <v>78</v>
      </c>
      <c r="C64" s="21">
        <v>20</v>
      </c>
      <c r="D64" s="21">
        <v>0</v>
      </c>
      <c r="E64" s="22">
        <f>C64/34</f>
        <v>0.58823529411764708</v>
      </c>
      <c r="F64" s="22">
        <f>D64/34</f>
        <v>0</v>
      </c>
    </row>
    <row r="68" spans="2:5" x14ac:dyDescent="0.25">
      <c r="B68" s="26"/>
      <c r="C68" s="3" t="s">
        <v>81</v>
      </c>
      <c r="D68" s="3" t="s">
        <v>82</v>
      </c>
      <c r="E68" s="3" t="s">
        <v>83</v>
      </c>
    </row>
    <row r="69" spans="2:5" x14ac:dyDescent="0.25">
      <c r="B69" s="26" t="s">
        <v>3</v>
      </c>
      <c r="C69" s="3">
        <f>MAX(C4:C37)</f>
        <v>94</v>
      </c>
      <c r="D69" s="3">
        <f>MIN(C4:C37)</f>
        <v>63</v>
      </c>
      <c r="E69" s="27">
        <f>AVERAGE(C4:C37)</f>
        <v>76.060606060606062</v>
      </c>
    </row>
    <row r="70" spans="2:5" x14ac:dyDescent="0.25">
      <c r="B70" s="26" t="s">
        <v>4</v>
      </c>
      <c r="C70" s="3">
        <f>MAX(D4:D37)</f>
        <v>100</v>
      </c>
      <c r="D70" s="3">
        <f>MIN(D4:D37)</f>
        <v>83</v>
      </c>
      <c r="E70" s="27">
        <f>AVERAGE(D4:D37)</f>
        <v>92.848484848484844</v>
      </c>
    </row>
  </sheetData>
  <mergeCells count="16">
    <mergeCell ref="B61:B62"/>
    <mergeCell ref="C61:C62"/>
    <mergeCell ref="D61:D62"/>
    <mergeCell ref="E61:E62"/>
    <mergeCell ref="F61:F62"/>
    <mergeCell ref="A1:I1"/>
    <mergeCell ref="C3:E3"/>
    <mergeCell ref="F3:F4"/>
    <mergeCell ref="G3:G4"/>
    <mergeCell ref="H3:H4"/>
    <mergeCell ref="I3:I4"/>
    <mergeCell ref="F43:G43"/>
    <mergeCell ref="F41:G41"/>
    <mergeCell ref="F42:G42"/>
    <mergeCell ref="A3:A4"/>
    <mergeCell ref="B3:B4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Siklus 1</vt:lpstr>
      <vt:lpstr>Silkus 2</vt:lpstr>
      <vt:lpstr>Siklus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2025-05-30T16:55:46Z</dcterms:created>
  <dcterms:modified xsi:type="dcterms:W3CDTF">2025-06-07T17:58:14Z</dcterms:modified>
</cp:coreProperties>
</file>